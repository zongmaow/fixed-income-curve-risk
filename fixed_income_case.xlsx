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puts" sheetId="1" state="visible" r:id="rId3"/>
    <sheet name="Bonds" sheetId="2" state="visible" r:id="rId4"/>
    <sheet name="Weights" sheetId="3" state="visible" r:id="rId5"/>
    <sheet name="Portfolio" sheetId="4" state="visible" r:id="rId6"/>
    <sheet name="FiveYearCashFlows" sheetId="5" state="visible" r:id="rId7"/>
    <sheet name="Notes" sheetId="6" state="visible" r:id="rId8"/>
  </sheets>
  <definedNames>
    <definedName function="false" hidden="true" localSheetId="1" name="_xlnm._FilterDatabase" vbProcedure="false">Bonds!$A$1:$L$9</definedName>
    <definedName function="false" hidden="false" name="Budget" vbProcedure="false">Inputs!$B$5</definedName>
    <definedName function="false" hidden="false" name="CostBp" vbProcedure="false">Inputs!$B$6</definedName>
    <definedName function="false" hidden="false" name="DV01Target" vbProcedure="false">Inputs!$B$4</definedName>
    <definedName function="false" hidden="false" name="NAV" vbProcedure="false">Inputs!$B$3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<sst xmlns="http://schemas.openxmlformats.org/spreadsheetml/2006/main" count="134" uniqueCount="114">
  <si>
    <t xml:space="preserve">Case inputs</t>
  </si>
  <si>
    <t xml:space="preserve">Initial NAV</t>
  </si>
  <si>
    <t xml:space="preserve">DV01 target per bp</t>
  </si>
  <si>
    <t xml:space="preserve">Relative loss budget</t>
  </si>
  <si>
    <t xml:space="preserve">One-sided transaction cost (bp)</t>
  </si>
  <si>
    <t xml:space="preserve">Routine turnover cap</t>
  </si>
  <si>
    <t xml:space="preserve">Edit B6, the weight block, and the apply-cost flags. Bond prices and scenario returns are values from the Python revaluation. NAV, DV01, turnover, cost, and relative P&amp;L are formulas.</t>
  </si>
  <si>
    <t xml:space="preserve">Instrument</t>
  </si>
  <si>
    <t xml:space="preserve">Coupon</t>
  </si>
  <si>
    <t xml:space="preserve">Maturity</t>
  </si>
  <si>
    <t xml:space="preserve">Dirty per 100</t>
  </si>
  <si>
    <t xml:space="preserve">DV01 per 100</t>
  </si>
  <si>
    <t xml:space="preserve">DV01 per dollar</t>
  </si>
  <si>
    <t xml:space="preserve">parallel_plus_100bp</t>
  </si>
  <si>
    <t xml:space="preserve">parallel_minus_100bp</t>
  </si>
  <si>
    <t xml:space="preserve">twist_steepener</t>
  </si>
  <si>
    <t xml:space="preserve">twist_flattener</t>
  </si>
  <si>
    <t xml:space="preserve">hist_2023_03_08_to_2023_03_13</t>
  </si>
  <si>
    <t xml:space="preserve">hist_2023_07_31_to_2023_10_19</t>
  </si>
  <si>
    <t xml:space="preserve">S06M</t>
  </si>
  <si>
    <t xml:space="preserve">2024-01-31</t>
  </si>
  <si>
    <t xml:space="preserve">S02Y</t>
  </si>
  <si>
    <t xml:space="preserve">2025-07-31</t>
  </si>
  <si>
    <t xml:space="preserve">S03Y</t>
  </si>
  <si>
    <t xml:space="preserve">2026-07-31</t>
  </si>
  <si>
    <t xml:space="preserve">S05Y</t>
  </si>
  <si>
    <t xml:space="preserve">2028-07-31</t>
  </si>
  <si>
    <t xml:space="preserve">S07Y</t>
  </si>
  <si>
    <t xml:space="preserve">2030-07-31</t>
  </si>
  <si>
    <t xml:space="preserve">S10Y</t>
  </si>
  <si>
    <t xml:space="preserve">2033-07-31</t>
  </si>
  <si>
    <t xml:space="preserve">S20Y</t>
  </si>
  <si>
    <t xml:space="preserve">2043-07-31</t>
  </si>
  <si>
    <t xml:space="preserve">S30Y</t>
  </si>
  <si>
    <t xml:space="preserve">2053-07-31</t>
  </si>
  <si>
    <t xml:space="preserve">Current</t>
  </si>
  <si>
    <t xml:space="preserve">Benchmark</t>
  </si>
  <si>
    <t xml:space="preserve">Candidate 10%</t>
  </si>
  <si>
    <t xml:space="preserve">Expanded S05Y</t>
  </si>
  <si>
    <t xml:space="preserve">Control 2y/20y</t>
  </si>
  <si>
    <t xml:space="preserve">Apply one-sided cost</t>
  </si>
  <si>
    <t xml:space="preserve">1 charges buys and sells against this column. Current, benchmark, and control stay at 0.</t>
  </si>
  <si>
    <t xml:space="preserve">Item</t>
  </si>
  <si>
    <t xml:space="preserve">Apply cost</t>
  </si>
  <si>
    <t xml:space="preserve">Market value</t>
  </si>
  <si>
    <t xml:space="preserve">Total market value</t>
  </si>
  <si>
    <t xml:space="preserve">Sum of weights</t>
  </si>
  <si>
    <t xml:space="preserve">Parallel DV01</t>
  </si>
  <si>
    <t xml:space="preserve">DV01 minus target</t>
  </si>
  <si>
    <t xml:space="preserve">DV01 inside ±2%</t>
  </si>
  <si>
    <t xml:space="preserve">Gross traded vs current (buys+sells)</t>
  </si>
  <si>
    <t xml:space="preserve">Buys vs current</t>
  </si>
  <si>
    <t xml:space="preserve">Sells vs current</t>
  </si>
  <si>
    <t xml:space="preserve">Turnover vs current</t>
  </si>
  <si>
    <t xml:space="preserve">Transaction cost</t>
  </si>
  <si>
    <t xml:space="preserve">Scenario full-revaluation P&amp;L, relative P&amp;L after cost, and budget status</t>
  </si>
  <si>
    <t xml:space="preserve">parallel_plus_100bp P&amp;L after cost</t>
  </si>
  <si>
    <t xml:space="preserve">parallel_plus_100bp relative to benchmark</t>
  </si>
  <si>
    <t xml:space="preserve">parallel_plus_100bp budget</t>
  </si>
  <si>
    <t xml:space="preserve">parallel_minus_100bp P&amp;L after cost</t>
  </si>
  <si>
    <t xml:space="preserve">parallel_minus_100bp relative to benchmark</t>
  </si>
  <si>
    <t xml:space="preserve">parallel_minus_100bp budget</t>
  </si>
  <si>
    <t xml:space="preserve">twist_steepener P&amp;L after cost</t>
  </si>
  <si>
    <t xml:space="preserve">twist_steepener relative to benchmark</t>
  </si>
  <si>
    <t xml:space="preserve">twist_steepener budget</t>
  </si>
  <si>
    <t xml:space="preserve">twist_flattener P&amp;L after cost</t>
  </si>
  <si>
    <t xml:space="preserve">twist_flattener relative to benchmark</t>
  </si>
  <si>
    <t xml:space="preserve">twist_flattener budget</t>
  </si>
  <si>
    <t xml:space="preserve">hist_2023_03_08_to_2023_03_13 P&amp;L after cost</t>
  </si>
  <si>
    <t xml:space="preserve">hist_2023_03_08_to_2023_03_13 relative to benchmark</t>
  </si>
  <si>
    <t xml:space="preserve">hist_2023_03_08_to_2023_03_13 budget</t>
  </si>
  <si>
    <t xml:space="preserve">hist_2023_07_31_to_2023_10_19 P&amp;L after cost</t>
  </si>
  <si>
    <t xml:space="preserve">hist_2023_07_31_to_2023_10_19 relative to benchmark</t>
  </si>
  <si>
    <t xml:space="preserve">hist_2023_07_31_to_2023_10_19 budget</t>
  </si>
  <si>
    <t xml:space="preserve">Role</t>
  </si>
  <si>
    <t xml:space="preserve">standing</t>
  </si>
  <si>
    <t xml:space="preserve">reference</t>
  </si>
  <si>
    <t xml:space="preserve">proposed</t>
  </si>
  <si>
    <t xml:space="preserve">Weights non-negative</t>
  </si>
  <si>
    <t xml:space="preserve">Weights sum to 1</t>
  </si>
  <si>
    <t xml:space="preserve">portfolio_valid</t>
  </si>
  <si>
    <t xml:space="preserve">dv01_within_mandate</t>
  </si>
  <si>
    <t xml:space="preserve">stress_budget_pass</t>
  </si>
  <si>
    <t xml:space="preserve">routine_authority</t>
  </si>
  <si>
    <t xml:space="preserve">decision</t>
  </si>
  <si>
    <t xml:space="preserve">S05Y cash-flow discount check</t>
  </si>
  <si>
    <t xml:space="preserve">Present value uses Excel EXP on the continuous zero. T and the zero are values from the valuation-date curve. Sum of PV should match the S05Y dirty price on Bonds.</t>
  </si>
  <si>
    <t xml:space="preserve">Pay date</t>
  </si>
  <si>
    <t xml:space="preserve">T (ACT/365F)</t>
  </si>
  <si>
    <t xml:space="preserve">Cash flow per 100</t>
  </si>
  <si>
    <t xml:space="preserve">Continuous zero (decimal)</t>
  </si>
  <si>
    <t xml:space="preserve">Discount factor</t>
  </si>
  <si>
    <t xml:space="preserve">Present value</t>
  </si>
  <si>
    <t xml:space="preserve">2024-07-31</t>
  </si>
  <si>
    <t xml:space="preserve">2025-01-31</t>
  </si>
  <si>
    <t xml:space="preserve">2026-01-31</t>
  </si>
  <si>
    <t xml:space="preserve">2027-01-31</t>
  </si>
  <si>
    <t xml:space="preserve">2027-07-31</t>
  </si>
  <si>
    <t xml:space="preserve">2028-01-31</t>
  </si>
  <si>
    <t xml:space="preserve">Sum of present values</t>
  </si>
  <si>
    <t xml:space="preserve">Dirty price from Bonds (S05Y)</t>
  </si>
  <si>
    <t xml:space="preserve">Difference</t>
  </si>
  <si>
    <t xml:space="preserve">How to read the formulas</t>
  </si>
  <si>
    <t xml:space="preserve">Market value is weight times Inputs!B3. Parallel DV01 is the sum of market value times DV01 per dollar.</t>
  </si>
  <si>
    <t xml:space="preserve">Turnover versus the current book is 0.5 * sum of absolute market-value changes / NAV. Gross traded value is buys plus sells.</t>
  </si>
  <si>
    <t xml:space="preserve">Cost is the one-sided bp rate times gross traded value, and only for columns with apply-cost = 1.</t>
  </si>
  <si>
    <t xml:space="preserve">Scenario P&amp;L is the sum of market value times the bond's full-revaluation return, minus that cost.</t>
  </si>
  <si>
    <t xml:space="preserve">Relative P&amp;L subtracts the benchmark column. Inside the budget means relative P&amp;L is not worse than -Budget.</t>
  </si>
  <si>
    <t xml:space="preserve">The steepener is -50 bp at and before 2y, +100 bp at and beyond 10y, linear in maturity between those nodes. The flattener swaps the signs. Neither is a bear steepener or a bull flattener.</t>
  </si>
  <si>
    <t xml:space="preserve">At the time this file was written, the expanded S05Y book's tightest scenario had a one-sided cost break-even of 4.1133 bp. The live formula below recomputes that break-even. A one-sided cost above it exhausts the March cushion. Inputs!B7 is the routine turnover cap used by routine_authority.</t>
  </si>
  <si>
    <t xml:space="preserve">Decision order: reference books stay reference; otherwise invalid_portfolio, still_outside_budget, needs_approval, or executable_within_authority. Being inside a scenario budget is not the same as being executable.</t>
  </si>
  <si>
    <t xml:space="preserve">Live cushion on expanded book (tightest relative P&amp;L + budget)</t>
  </si>
  <si>
    <t xml:space="preserve">Live break-even one-sided cost (bp)</t>
  </si>
  <si>
    <t xml:space="preserve">Would 4.2 bp one-sided exhaust the expanded cushion?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</si>
</sst>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0"/>
    <numFmt numFmtId="167" formatCode="0.00%"/>
    <numFmt numFmtId="168" formatCode="0.000000"/>
    <numFmt numFmtId="169" formatCode="0.00000000"/>
    <numFmt numFmtId="170" formatCode="0.000000%"/>
    <numFmt numFmtId="171" formatCode="#,##0.00"/>
    <numFmt numFmtId="172" formatCode="#,##0.0000"/>
    <numFmt numFmtId="173" formatCode="0.0000%"/>
    <numFmt numFmtId="174" formatCode="0.00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100000000</v>
      </c>
    </row>
    <row r="4" customFormat="false" ht="15" hidden="false" customHeight="false" outlineLevel="0" collapsed="false">
      <c r="A4" s="2" t="s">
        <v>2</v>
      </c>
      <c r="B4" s="3" t="n">
        <v>50000</v>
      </c>
    </row>
    <row r="5" customFormat="false" ht="15" hidden="false" customHeight="false" outlineLevel="0" collapsed="false">
      <c r="A5" s="2" t="s">
        <v>3</v>
      </c>
      <c r="B5" s="3" t="n">
        <v>1000000</v>
      </c>
    </row>
    <row r="6" customFormat="false" ht="15" hidden="false" customHeight="false" outlineLevel="0" collapsed="false">
      <c r="A6" s="2" t="s">
        <v>4</v>
      </c>
      <c r="B6" s="4" t="n">
        <v>2</v>
      </c>
    </row>
    <row r="7" customFormat="false" ht="15" hidden="false" customHeight="false" outlineLevel="0" collapsed="false">
      <c r="A7" s="2" t="s">
        <v>5</v>
      </c>
      <c r="B7" s="5" t="n">
        <v>0.1</v>
      </c>
    </row>
    <row r="9" customFormat="false" ht="55.2" hidden="false" customHeight="false" outlineLevel="0" collapsed="false">
      <c r="A9" s="6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18"/>
    <col collapsed="false" customWidth="true" hidden="false" outlineLevel="0" max="12" min="7" style="0" width="22"/>
  </cols>
  <sheetData>
    <row r="1" customFormat="false" ht="28.35" hidden="false" customHeight="false" outlineLevel="0" collapsed="false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2" t="s">
        <v>16</v>
      </c>
      <c r="K1" s="2" t="s">
        <v>17</v>
      </c>
      <c r="L1" s="2" t="s">
        <v>18</v>
      </c>
    </row>
    <row r="2" customFormat="false" ht="15" hidden="false" customHeight="false" outlineLevel="0" collapsed="false">
      <c r="A2" s="0" t="s">
        <v>19</v>
      </c>
      <c r="B2" s="5" t="n">
        <v>0.0475</v>
      </c>
      <c r="C2" s="0" t="s">
        <v>20</v>
      </c>
      <c r="D2" s="7" t="n">
        <v>99.5821565834646</v>
      </c>
      <c r="E2" s="8" t="n">
        <v>0.00502003200523404</v>
      </c>
      <c r="F2" s="8" t="n">
        <f aca="false">E2/D2</f>
        <v>5.04109589254227E-005</v>
      </c>
      <c r="G2" s="8" t="n">
        <v>-0.00502841089090712</v>
      </c>
      <c r="H2" s="8" t="n">
        <v>0.00505382359250041</v>
      </c>
      <c r="I2" s="8" t="n">
        <v>0.00252372719676837</v>
      </c>
      <c r="J2" s="8" t="n">
        <v>-0.00502841089090712</v>
      </c>
      <c r="K2" s="8" t="n">
        <v>0.00193416152907007</v>
      </c>
      <c r="L2" s="8" t="n">
        <v>-4.62499681843452E-005</v>
      </c>
    </row>
    <row r="3" customFormat="false" ht="15" hidden="false" customHeight="false" outlineLevel="0" collapsed="false">
      <c r="A3" s="0" t="s">
        <v>21</v>
      </c>
      <c r="B3" s="5" t="n">
        <v>0.045</v>
      </c>
      <c r="C3" s="0" t="s">
        <v>22</v>
      </c>
      <c r="D3" s="7" t="n">
        <v>99.1946426943946</v>
      </c>
      <c r="E3" s="8" t="n">
        <v>0.0192213071021925</v>
      </c>
      <c r="F3" s="8" t="n">
        <f aca="false">E3/D3</f>
        <v>0.000193773641197648</v>
      </c>
      <c r="G3" s="8" t="n">
        <v>-0.019187284441261</v>
      </c>
      <c r="H3" s="8" t="n">
        <v>0.0195699804112169</v>
      </c>
      <c r="I3" s="8" t="n">
        <v>0.00972695609673412</v>
      </c>
      <c r="J3" s="8" t="n">
        <v>-0.0191778517472204</v>
      </c>
      <c r="K3" s="8" t="n">
        <v>0.0185380260864658</v>
      </c>
      <c r="L3" s="8" t="n">
        <v>-0.00496669049001648</v>
      </c>
    </row>
    <row r="4" customFormat="false" ht="15" hidden="false" customHeight="false" outlineLevel="0" collapsed="false">
      <c r="A4" s="0" t="s">
        <v>23</v>
      </c>
      <c r="B4" s="5" t="n">
        <v>0.0425</v>
      </c>
      <c r="C4" s="0" t="s">
        <v>24</v>
      </c>
      <c r="D4" s="7" t="n">
        <v>99.0652401889466</v>
      </c>
      <c r="E4" s="8" t="n">
        <v>0.028245978877564</v>
      </c>
      <c r="F4" s="8" t="n">
        <f aca="false">E4/D4</f>
        <v>0.000285125022900975</v>
      </c>
      <c r="G4" s="8" t="n">
        <v>-0.0280972769346274</v>
      </c>
      <c r="H4" s="8" t="n">
        <v>0.0289360354015791</v>
      </c>
      <c r="I4" s="8" t="n">
        <v>0.0091700188284706</v>
      </c>
      <c r="J4" s="8" t="n">
        <v>-0.0231060489435884</v>
      </c>
      <c r="K4" s="8" t="n">
        <v>0.0235393859559122</v>
      </c>
      <c r="L4" s="8" t="n">
        <v>-0.0130180421796875</v>
      </c>
    </row>
    <row r="5" customFormat="false" ht="15" hidden="false" customHeight="false" outlineLevel="0" collapsed="false">
      <c r="A5" s="0" t="s">
        <v>25</v>
      </c>
      <c r="B5" s="5" t="n">
        <v>0.04</v>
      </c>
      <c r="C5" s="0" t="s">
        <v>26</v>
      </c>
      <c r="D5" s="7" t="n">
        <v>99.0876133467474</v>
      </c>
      <c r="E5" s="8" t="n">
        <v>0.0454665716181921</v>
      </c>
      <c r="F5" s="8" t="n">
        <f aca="false">E5/D5</f>
        <v>0.000458852222619252</v>
      </c>
      <c r="G5" s="8" t="n">
        <v>-0.0447921161771722</v>
      </c>
      <c r="H5" s="8" t="n">
        <v>0.0470147967073269</v>
      </c>
      <c r="I5" s="8" t="n">
        <v>-0.00159851499395344</v>
      </c>
      <c r="J5" s="8" t="n">
        <v>-0.0211050428384325</v>
      </c>
      <c r="K5" s="8" t="n">
        <v>0.0297368587272327</v>
      </c>
      <c r="L5" s="8" t="n">
        <v>-0.0337370139907811</v>
      </c>
    </row>
    <row r="6" customFormat="false" ht="15" hidden="false" customHeight="false" outlineLevel="0" collapsed="false">
      <c r="A6" s="0" t="s">
        <v>27</v>
      </c>
      <c r="B6" s="5" t="n">
        <v>0.04</v>
      </c>
      <c r="C6" s="0" t="s">
        <v>28</v>
      </c>
      <c r="D6" s="7" t="n">
        <v>99.5666815850492</v>
      </c>
      <c r="E6" s="8" t="n">
        <v>0.0616029332046395</v>
      </c>
      <c r="F6" s="8" t="n">
        <f aca="false">E6/D6</f>
        <v>0.000618710317788573</v>
      </c>
      <c r="G6" s="8" t="n">
        <v>-0.0598487640898493</v>
      </c>
      <c r="H6" s="8" t="n">
        <v>0.0639876830994055</v>
      </c>
      <c r="I6" s="8" t="n">
        <v>-0.0231539116441547</v>
      </c>
      <c r="J6" s="8" t="n">
        <v>-0.00736076687908321</v>
      </c>
      <c r="K6" s="8" t="n">
        <v>0.0339837842120014</v>
      </c>
      <c r="L6" s="8" t="n">
        <v>-0.0544007079843119</v>
      </c>
    </row>
    <row r="7" customFormat="false" ht="15" hidden="false" customHeight="false" outlineLevel="0" collapsed="false">
      <c r="A7" s="0" t="s">
        <v>29</v>
      </c>
      <c r="B7" s="5" t="n">
        <v>0.04</v>
      </c>
      <c r="C7" s="0" t="s">
        <v>30</v>
      </c>
      <c r="D7" s="7" t="n">
        <v>99.5824225083758</v>
      </c>
      <c r="E7" s="8" t="n">
        <v>0.0832426960167538</v>
      </c>
      <c r="F7" s="8" t="n">
        <f aca="false">E7/D7</f>
        <v>0.000835917563762343</v>
      </c>
      <c r="G7" s="8" t="n">
        <v>-0.0798047053203035</v>
      </c>
      <c r="H7" s="8" t="n">
        <v>0.0876310181334669</v>
      </c>
      <c r="I7" s="8" t="n">
        <v>-0.0699740741909308</v>
      </c>
      <c r="J7" s="8" t="n">
        <v>0.0326087718651916</v>
      </c>
      <c r="K7" s="8" t="n">
        <v>0.0377686587415808</v>
      </c>
      <c r="L7" s="8" t="n">
        <v>-0.0823674313648785</v>
      </c>
    </row>
    <row r="8" customFormat="false" ht="15" hidden="false" customHeight="false" outlineLevel="0" collapsed="false">
      <c r="A8" s="0" t="s">
        <v>31</v>
      </c>
      <c r="B8" s="5" t="n">
        <v>0.04</v>
      </c>
      <c r="C8" s="0" t="s">
        <v>32</v>
      </c>
      <c r="D8" s="7" t="n">
        <v>98.1815528611716</v>
      </c>
      <c r="E8" s="8" t="n">
        <v>0.13656160152015</v>
      </c>
      <c r="F8" s="8" t="n">
        <f aca="false">E8/D8</f>
        <v>0.001390908959377</v>
      </c>
      <c r="G8" s="8" t="n">
        <v>-0.12773003346926</v>
      </c>
      <c r="H8" s="8" t="n">
        <v>0.151952279090114</v>
      </c>
      <c r="I8" s="8" t="n">
        <v>-0.117759137367897</v>
      </c>
      <c r="J8" s="8" t="n">
        <v>0.062334289977413</v>
      </c>
      <c r="K8" s="8" t="n">
        <v>0.0393376010214038</v>
      </c>
      <c r="L8" s="8" t="n">
        <v>-0.144308171673966</v>
      </c>
    </row>
    <row r="9" customFormat="false" ht="15" hidden="false" customHeight="false" outlineLevel="0" collapsed="false">
      <c r="A9" s="0" t="s">
        <v>33</v>
      </c>
      <c r="B9" s="5" t="n">
        <v>0.04</v>
      </c>
      <c r="C9" s="0" t="s">
        <v>34</v>
      </c>
      <c r="D9" s="7" t="n">
        <v>97.0927208838771</v>
      </c>
      <c r="E9" s="8" t="n">
        <v>0.170131965452264</v>
      </c>
      <c r="F9" s="8" t="n">
        <f aca="false">E9/D9</f>
        <v>0.00175226282571421</v>
      </c>
      <c r="G9" s="8" t="n">
        <v>-0.155906179250315</v>
      </c>
      <c r="H9" s="8" t="n">
        <v>0.198319895474735</v>
      </c>
      <c r="I9" s="8" t="n">
        <v>-0.145823466007372</v>
      </c>
      <c r="J9" s="8" t="n">
        <v>0.0826835343376128</v>
      </c>
      <c r="K9" s="8" t="n">
        <v>0.0376472333251382</v>
      </c>
      <c r="L9" s="8" t="n">
        <v>-0.156687913002817</v>
      </c>
    </row>
  </sheetData>
  <autoFilter ref="A1:L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20"/>
  </cols>
  <sheetData>
    <row r="1" customFormat="false" ht="15" hidden="false" customHeight="false" outlineLevel="0" collapsed="false">
      <c r="A1" s="2" t="s">
        <v>7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</row>
    <row r="2" customFormat="false" ht="15" hidden="false" customHeight="false" outlineLevel="0" collapsed="false">
      <c r="A2" s="0" t="s">
        <v>19</v>
      </c>
      <c r="B2" s="9" t="n">
        <v>0.735823634331404</v>
      </c>
      <c r="C2" s="9" t="n">
        <v>0</v>
      </c>
      <c r="D2" s="9" t="n">
        <v>0.659823447221377</v>
      </c>
      <c r="E2" s="9" t="n">
        <v>0.39720994760657</v>
      </c>
      <c r="F2" s="9" t="n">
        <v>0</v>
      </c>
    </row>
    <row r="3" customFormat="false" ht="15" hidden="false" customHeight="false" outlineLevel="0" collapsed="false">
      <c r="A3" s="0" t="s">
        <v>21</v>
      </c>
      <c r="B3" s="9" t="n">
        <v>0</v>
      </c>
      <c r="C3" s="9" t="n">
        <v>0.150647896361131</v>
      </c>
      <c r="D3" s="9" t="n">
        <v>0</v>
      </c>
      <c r="E3" s="9" t="n">
        <v>0</v>
      </c>
      <c r="F3" s="9" t="n">
        <v>0.744200714696085</v>
      </c>
    </row>
    <row r="4" customFormat="false" ht="15" hidden="false" customHeight="false" outlineLevel="0" collapsed="false">
      <c r="A4" s="0" t="s">
        <v>23</v>
      </c>
      <c r="B4" s="9" t="n">
        <v>0</v>
      </c>
      <c r="C4" s="9" t="n">
        <v>0.15</v>
      </c>
      <c r="D4" s="9" t="n">
        <v>0</v>
      </c>
      <c r="E4" s="9" t="n">
        <v>0</v>
      </c>
      <c r="F4" s="9" t="n">
        <v>0</v>
      </c>
    </row>
    <row r="5" customFormat="false" ht="15" hidden="false" customHeight="false" outlineLevel="0" collapsed="false">
      <c r="A5" s="0" t="s">
        <v>25</v>
      </c>
      <c r="B5" s="9" t="n">
        <v>0</v>
      </c>
      <c r="C5" s="9" t="n">
        <v>0.3</v>
      </c>
      <c r="D5" s="9" t="n">
        <v>0.1</v>
      </c>
      <c r="E5" s="9" t="n">
        <v>0.445543227722082</v>
      </c>
      <c r="F5" s="9" t="n">
        <v>0</v>
      </c>
    </row>
    <row r="6" customFormat="false" ht="15" hidden="false" customHeight="false" outlineLevel="0" collapsed="false">
      <c r="A6" s="0" t="s">
        <v>27</v>
      </c>
      <c r="B6" s="9" t="n">
        <v>0</v>
      </c>
      <c r="C6" s="9" t="n">
        <v>0.2</v>
      </c>
      <c r="D6" s="9" t="n">
        <v>0</v>
      </c>
      <c r="E6" s="9" t="n">
        <v>0</v>
      </c>
      <c r="F6" s="9" t="n">
        <v>0</v>
      </c>
    </row>
    <row r="7" customFormat="false" ht="15" hidden="false" customHeight="false" outlineLevel="0" collapsed="false">
      <c r="A7" s="0" t="s">
        <v>29</v>
      </c>
      <c r="B7" s="9" t="n">
        <v>0</v>
      </c>
      <c r="C7" s="9" t="n">
        <v>0.199352103638869</v>
      </c>
      <c r="D7" s="9" t="n">
        <v>0</v>
      </c>
      <c r="E7" s="9" t="n">
        <v>0</v>
      </c>
      <c r="F7" s="9" t="n">
        <v>0</v>
      </c>
    </row>
    <row r="8" customFormat="false" ht="15" hidden="false" customHeight="false" outlineLevel="0" collapsed="false">
      <c r="A8" s="0" t="s">
        <v>31</v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0.255799285303915</v>
      </c>
    </row>
    <row r="9" customFormat="false" ht="15" hidden="false" customHeight="false" outlineLevel="0" collapsed="false">
      <c r="A9" s="0" t="s">
        <v>33</v>
      </c>
      <c r="B9" s="9" t="n">
        <v>0.264176365668596</v>
      </c>
      <c r="C9" s="9" t="n">
        <v>0</v>
      </c>
      <c r="D9" s="9" t="n">
        <v>0.240176552778623</v>
      </c>
      <c r="E9" s="9" t="n">
        <v>0.157246824671348</v>
      </c>
      <c r="F9" s="9" t="n">
        <v>0</v>
      </c>
    </row>
    <row r="11" customFormat="false" ht="15" hidden="false" customHeight="false" outlineLevel="0" collapsed="false">
      <c r="A11" s="2" t="s">
        <v>40</v>
      </c>
      <c r="B11" s="0" t="n">
        <v>0</v>
      </c>
      <c r="C11" s="0" t="n">
        <v>0</v>
      </c>
      <c r="D11" s="0" t="n">
        <v>1</v>
      </c>
      <c r="E11" s="0" t="n">
        <v>1</v>
      </c>
      <c r="F11" s="0" t="n">
        <v>0</v>
      </c>
    </row>
    <row r="12" customFormat="false" ht="15" hidden="false" customHeight="false" outlineLevel="0" collapsed="false">
      <c r="A12" s="0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20"/>
  </cols>
  <sheetData>
    <row r="1" customFormat="false" ht="21.75" hidden="false" customHeight="true" outlineLevel="0" collapsed="false">
      <c r="A1" s="2" t="s">
        <v>42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</row>
    <row r="2" customFormat="false" ht="15" hidden="false" customHeight="false" outlineLevel="0" collapsed="false">
      <c r="A2" s="0" t="s">
        <v>43</v>
      </c>
      <c r="B2" s="0" t="n">
        <f aca="false">Weights!B11</f>
        <v>0</v>
      </c>
      <c r="C2" s="0" t="n">
        <f aca="false">Weights!C11</f>
        <v>0</v>
      </c>
      <c r="D2" s="0" t="n">
        <f aca="false">Weights!D11</f>
        <v>1</v>
      </c>
      <c r="E2" s="0" t="n">
        <f aca="false">Weights!E11</f>
        <v>1</v>
      </c>
      <c r="F2" s="0" t="n">
        <f aca="false">Weights!F11</f>
        <v>0</v>
      </c>
    </row>
    <row r="4" customFormat="false" ht="15" hidden="false" customHeight="false" outlineLevel="0" collapsed="false">
      <c r="A4" s="2" t="s">
        <v>44</v>
      </c>
    </row>
    <row r="5" customFormat="false" ht="15" hidden="false" customHeight="false" outlineLevel="0" collapsed="false">
      <c r="A5" s="0" t="str">
        <f aca="false">Weights!A2</f>
        <v>S06M</v>
      </c>
      <c r="B5" s="10" t="n">
        <f aca="false">Weights!B2*NAV</f>
        <v>73582363.4331404</v>
      </c>
      <c r="C5" s="10" t="n">
        <f aca="false">Weights!C2*NAV</f>
        <v>0</v>
      </c>
      <c r="D5" s="10" t="n">
        <f aca="false">Weights!D2*NAV</f>
        <v>65982344.7221377</v>
      </c>
      <c r="E5" s="10" t="n">
        <f aca="false">Weights!E2*NAV</f>
        <v>39720994.760657</v>
      </c>
      <c r="F5" s="10" t="n">
        <f aca="false">Weights!F2*NAV</f>
        <v>0</v>
      </c>
    </row>
    <row r="6" customFormat="false" ht="15" hidden="false" customHeight="false" outlineLevel="0" collapsed="false">
      <c r="A6" s="0" t="str">
        <f aca="false">Weights!A3</f>
        <v>S02Y</v>
      </c>
      <c r="B6" s="10" t="n">
        <f aca="false">Weights!B3*NAV</f>
        <v>0</v>
      </c>
      <c r="C6" s="10" t="n">
        <f aca="false">Weights!C3*NAV</f>
        <v>15064789.6361131</v>
      </c>
      <c r="D6" s="10" t="n">
        <f aca="false">Weights!D3*NAV</f>
        <v>0</v>
      </c>
      <c r="E6" s="10" t="n">
        <f aca="false">Weights!E3*NAV</f>
        <v>0</v>
      </c>
      <c r="F6" s="10" t="n">
        <f aca="false">Weights!F3*NAV</f>
        <v>74420071.4696085</v>
      </c>
    </row>
    <row r="7" customFormat="false" ht="15" hidden="false" customHeight="false" outlineLevel="0" collapsed="false">
      <c r="A7" s="0" t="str">
        <f aca="false">Weights!A4</f>
        <v>S03Y</v>
      </c>
      <c r="B7" s="10" t="n">
        <f aca="false">Weights!B4*NAV</f>
        <v>0</v>
      </c>
      <c r="C7" s="10" t="n">
        <f aca="false">Weights!C4*NAV</f>
        <v>15000000</v>
      </c>
      <c r="D7" s="10" t="n">
        <f aca="false">Weights!D4*NAV</f>
        <v>0</v>
      </c>
      <c r="E7" s="10" t="n">
        <f aca="false">Weights!E4*NAV</f>
        <v>0</v>
      </c>
      <c r="F7" s="10" t="n">
        <f aca="false">Weights!F4*NAV</f>
        <v>0</v>
      </c>
    </row>
    <row r="8" customFormat="false" ht="15" hidden="false" customHeight="false" outlineLevel="0" collapsed="false">
      <c r="A8" s="0" t="str">
        <f aca="false">Weights!A5</f>
        <v>S05Y</v>
      </c>
      <c r="B8" s="10" t="n">
        <f aca="false">Weights!B5*NAV</f>
        <v>0</v>
      </c>
      <c r="C8" s="10" t="n">
        <f aca="false">Weights!C5*NAV</f>
        <v>30000000</v>
      </c>
      <c r="D8" s="10" t="n">
        <f aca="false">Weights!D5*NAV</f>
        <v>10000000</v>
      </c>
      <c r="E8" s="10" t="n">
        <f aca="false">Weights!E5*NAV</f>
        <v>44554322.7722082</v>
      </c>
      <c r="F8" s="10" t="n">
        <f aca="false">Weights!F5*NAV</f>
        <v>0</v>
      </c>
    </row>
    <row r="9" customFormat="false" ht="15" hidden="false" customHeight="false" outlineLevel="0" collapsed="false">
      <c r="A9" s="0" t="str">
        <f aca="false">Weights!A6</f>
        <v>S07Y</v>
      </c>
      <c r="B9" s="10" t="n">
        <f aca="false">Weights!B6*NAV</f>
        <v>0</v>
      </c>
      <c r="C9" s="10" t="n">
        <f aca="false">Weights!C6*NAV</f>
        <v>20000000</v>
      </c>
      <c r="D9" s="10" t="n">
        <f aca="false">Weights!D6*NAV</f>
        <v>0</v>
      </c>
      <c r="E9" s="10" t="n">
        <f aca="false">Weights!E6*NAV</f>
        <v>0</v>
      </c>
      <c r="F9" s="10" t="n">
        <f aca="false">Weights!F6*NAV</f>
        <v>0</v>
      </c>
    </row>
    <row r="10" customFormat="false" ht="15" hidden="false" customHeight="false" outlineLevel="0" collapsed="false">
      <c r="A10" s="0" t="str">
        <f aca="false">Weights!A7</f>
        <v>S10Y</v>
      </c>
      <c r="B10" s="10" t="n">
        <f aca="false">Weights!B7*NAV</f>
        <v>0</v>
      </c>
      <c r="C10" s="10" t="n">
        <f aca="false">Weights!C7*NAV</f>
        <v>19935210.3638869</v>
      </c>
      <c r="D10" s="10" t="n">
        <f aca="false">Weights!D7*NAV</f>
        <v>0</v>
      </c>
      <c r="E10" s="10" t="n">
        <f aca="false">Weights!E7*NAV</f>
        <v>0</v>
      </c>
      <c r="F10" s="10" t="n">
        <f aca="false">Weights!F7*NAV</f>
        <v>0</v>
      </c>
    </row>
    <row r="11" customFormat="false" ht="15" hidden="false" customHeight="false" outlineLevel="0" collapsed="false">
      <c r="A11" s="0" t="str">
        <f aca="false">Weights!A8</f>
        <v>S20Y</v>
      </c>
      <c r="B11" s="10" t="n">
        <f aca="false">Weights!B8*NAV</f>
        <v>0</v>
      </c>
      <c r="C11" s="10" t="n">
        <f aca="false">Weights!C8*NAV</f>
        <v>0</v>
      </c>
      <c r="D11" s="10" t="n">
        <f aca="false">Weights!D8*NAV</f>
        <v>0</v>
      </c>
      <c r="E11" s="10" t="n">
        <f aca="false">Weights!E8*NAV</f>
        <v>0</v>
      </c>
      <c r="F11" s="10" t="n">
        <f aca="false">Weights!F8*NAV</f>
        <v>25579928.5303915</v>
      </c>
    </row>
    <row r="12" customFormat="false" ht="15" hidden="false" customHeight="false" outlineLevel="0" collapsed="false">
      <c r="A12" s="0" t="str">
        <f aca="false">Weights!A9</f>
        <v>S30Y</v>
      </c>
      <c r="B12" s="10" t="n">
        <f aca="false">Weights!B9*NAV</f>
        <v>26417636.5668596</v>
      </c>
      <c r="C12" s="10" t="n">
        <f aca="false">Weights!C9*NAV</f>
        <v>0</v>
      </c>
      <c r="D12" s="10" t="n">
        <f aca="false">Weights!D9*NAV</f>
        <v>24017655.2778623</v>
      </c>
      <c r="E12" s="10" t="n">
        <f aca="false">Weights!E9*NAV</f>
        <v>15724682.4671348</v>
      </c>
      <c r="F12" s="10" t="n">
        <f aca="false">Weights!F9*NAV</f>
        <v>0</v>
      </c>
    </row>
    <row r="13" customFormat="false" ht="15" hidden="false" customHeight="false" outlineLevel="0" collapsed="false">
      <c r="A13" s="2" t="s">
        <v>45</v>
      </c>
      <c r="B13" s="10" t="n">
        <f aca="false">SUM(B5:B12)</f>
        <v>100000000</v>
      </c>
      <c r="C13" s="10" t="n">
        <f aca="false">SUM(C5:C12)</f>
        <v>100000000</v>
      </c>
      <c r="D13" s="10" t="n">
        <f aca="false">SUM(D5:D12)</f>
        <v>100000000</v>
      </c>
      <c r="E13" s="10" t="n">
        <f aca="false">SUM(E5:E12)</f>
        <v>100000000</v>
      </c>
      <c r="F13" s="10" t="n">
        <f aca="false">SUM(F5:F12)</f>
        <v>100000000</v>
      </c>
    </row>
    <row r="14" customFormat="false" ht="15" hidden="false" customHeight="false" outlineLevel="0" collapsed="false">
      <c r="A14" s="2" t="s">
        <v>46</v>
      </c>
      <c r="B14" s="9" t="n">
        <f aca="false">SUM(Weights!B2:B9)</f>
        <v>1</v>
      </c>
      <c r="C14" s="9" t="n">
        <f aca="false">SUM(Weights!C2:C9)</f>
        <v>1</v>
      </c>
      <c r="D14" s="9" t="n">
        <f aca="false">SUM(Weights!D2:D9)</f>
        <v>1</v>
      </c>
      <c r="E14" s="9" t="n">
        <f aca="false">SUM(Weights!E2:E9)</f>
        <v>1</v>
      </c>
      <c r="F14" s="9" t="n">
        <f aca="false">SUM(Weights!F2:F9)</f>
        <v>1</v>
      </c>
    </row>
    <row r="15" customFormat="false" ht="15" hidden="false" customHeight="false" outlineLevel="0" collapsed="false">
      <c r="A15" s="2" t="s">
        <v>47</v>
      </c>
      <c r="B15" s="11" t="n">
        <f aca="false">SUMPRODUCT(B5:B12,Bonds!$F$2:$F$9)</f>
        <v>50000</v>
      </c>
      <c r="C15" s="11" t="n">
        <f aca="false">SUMPRODUCT(C5:C12,Bonds!$F$2:$F$9)</f>
        <v>50000</v>
      </c>
      <c r="D15" s="11" t="n">
        <f aca="false">SUMPRODUCT(D5:D12,Bonds!$F$2:$F$9)</f>
        <v>50000</v>
      </c>
      <c r="E15" s="11" t="n">
        <f aca="false">SUMPRODUCT(E5:E12,Bonds!$F$2:$F$9)</f>
        <v>50000</v>
      </c>
      <c r="F15" s="11" t="n">
        <f aca="false">SUMPRODUCT(F5:F12,Bonds!$F$2:$F$9)</f>
        <v>50000</v>
      </c>
    </row>
    <row r="16" customFormat="false" ht="15" hidden="false" customHeight="false" outlineLevel="0" collapsed="false">
      <c r="A16" s="2" t="s">
        <v>48</v>
      </c>
      <c r="B16" s="11" t="n">
        <f aca="false">B15-DV01Target</f>
        <v>0</v>
      </c>
      <c r="C16" s="11" t="n">
        <f aca="false">C15-DV01Target</f>
        <v>0</v>
      </c>
      <c r="D16" s="11" t="n">
        <f aca="false">D15-DV01Target</f>
        <v>0</v>
      </c>
      <c r="E16" s="11" t="n">
        <f aca="false">E15-DV01Target</f>
        <v>0</v>
      </c>
      <c r="F16" s="11" t="n">
        <f aca="false">F15-DV01Target</f>
        <v>0</v>
      </c>
    </row>
    <row r="17" customFormat="false" ht="15" hidden="false" customHeight="false" outlineLevel="0" collapsed="false">
      <c r="A17" s="2" t="s">
        <v>49</v>
      </c>
      <c r="B17" s="0" t="str">
        <f aca="false">IF(ABS(B15-DV01Target)&lt;=DV01Target*0.02+0.000001,"inside","outside")</f>
        <v>inside</v>
      </c>
      <c r="C17" s="0" t="str">
        <f aca="false">IF(ABS(C15-DV01Target)&lt;=DV01Target*0.02+0.000001,"inside","outside")</f>
        <v>inside</v>
      </c>
      <c r="D17" s="0" t="str">
        <f aca="false">IF(ABS(D15-DV01Target)&lt;=DV01Target*0.02+0.000001,"inside","outside")</f>
        <v>inside</v>
      </c>
      <c r="E17" s="0" t="str">
        <f aca="false">IF(ABS(E15-DV01Target)&lt;=DV01Target*0.02+0.000001,"inside","outside")</f>
        <v>inside</v>
      </c>
      <c r="F17" s="0" t="str">
        <f aca="false">IF(ABS(F15-DV01Target)&lt;=DV01Target*0.02+0.000001,"inside","outside")</f>
        <v>inside</v>
      </c>
    </row>
    <row r="19" customFormat="false" ht="15" hidden="false" customHeight="false" outlineLevel="0" collapsed="false">
      <c r="A19" s="2" t="s">
        <v>50</v>
      </c>
      <c r="B19" s="10" t="n">
        <f aca="false">SUMPRODUCT(ABS(B5:B12-$B$5:$B$12))</f>
        <v>0</v>
      </c>
      <c r="C19" s="10" t="n">
        <f aca="false">SUMPRODUCT(ABS(C5:C12-$B$5:$B$12))</f>
        <v>200000000</v>
      </c>
      <c r="D19" s="10" t="n">
        <f aca="false">SUMPRODUCT(ABS(D5:D12-$B$5:$B$12))</f>
        <v>20000000</v>
      </c>
      <c r="E19" s="10" t="n">
        <f aca="false">SUMPRODUCT(ABS(E5:E12-$B$5:$B$12))</f>
        <v>89108645.5444164</v>
      </c>
      <c r="F19" s="10" t="n">
        <f aca="false">SUMPRODUCT(ABS(F5:F12-$B$5:$B$12))</f>
        <v>200000000</v>
      </c>
    </row>
    <row r="20" customFormat="false" ht="15" hidden="false" customHeight="false" outlineLevel="0" collapsed="false">
      <c r="A20" s="2" t="s">
        <v>51</v>
      </c>
      <c r="B20" s="10" t="n">
        <f aca="false">SUMPRODUCT((B5:B12-$B$5:$B$12&gt;0)*(B5:B12-$B$5:$B$12))</f>
        <v>0</v>
      </c>
      <c r="C20" s="10" t="n">
        <f aca="false">SUMPRODUCT((C5:C12-$B$5:$B$12&gt;0)*(C5:C12-$B$5:$B$12))</f>
        <v>100000000</v>
      </c>
      <c r="D20" s="10" t="n">
        <f aca="false">SUMPRODUCT((D5:D12-$B$5:$B$12&gt;0)*(D5:D12-$B$5:$B$12))</f>
        <v>10000000</v>
      </c>
      <c r="E20" s="10" t="n">
        <f aca="false">SUMPRODUCT((E5:E12-$B$5:$B$12&gt;0)*(E5:E12-$B$5:$B$12))</f>
        <v>44554322.7722082</v>
      </c>
      <c r="F20" s="10" t="n">
        <f aca="false">SUMPRODUCT((F5:F12-$B$5:$B$12&gt;0)*(F5:F12-$B$5:$B$12))</f>
        <v>100000000</v>
      </c>
    </row>
    <row r="21" customFormat="false" ht="15" hidden="false" customHeight="false" outlineLevel="0" collapsed="false">
      <c r="A21" s="2" t="s">
        <v>52</v>
      </c>
      <c r="B21" s="10" t="n">
        <f aca="false">B19-B20</f>
        <v>0</v>
      </c>
      <c r="C21" s="10" t="n">
        <f aca="false">C19-C20</f>
        <v>100000000</v>
      </c>
      <c r="D21" s="10" t="n">
        <f aca="false">D19-D20</f>
        <v>9999999.99999999</v>
      </c>
      <c r="E21" s="10" t="n">
        <f aca="false">E19-E20</f>
        <v>44554322.7722082</v>
      </c>
      <c r="F21" s="10" t="n">
        <f aca="false">F19-F20</f>
        <v>100000000</v>
      </c>
    </row>
    <row r="22" customFormat="false" ht="15" hidden="false" customHeight="false" outlineLevel="0" collapsed="false">
      <c r="A22" s="2" t="s">
        <v>53</v>
      </c>
      <c r="B22" s="12" t="n">
        <f aca="false">0.5*B19/NAV</f>
        <v>0</v>
      </c>
      <c r="C22" s="12" t="n">
        <f aca="false">0.5*C19/NAV</f>
        <v>1</v>
      </c>
      <c r="D22" s="12" t="n">
        <f aca="false">0.5*D19/NAV</f>
        <v>0.1</v>
      </c>
      <c r="E22" s="12" t="n">
        <f aca="false">0.5*E19/NAV</f>
        <v>0.445543227722082</v>
      </c>
      <c r="F22" s="12" t="n">
        <f aca="false">0.5*F19/NAV</f>
        <v>1</v>
      </c>
    </row>
    <row r="23" customFormat="false" ht="15" hidden="false" customHeight="false" outlineLevel="0" collapsed="false">
      <c r="A23" s="2" t="s">
        <v>54</v>
      </c>
      <c r="B23" s="10" t="n">
        <f aca="false">B2*(CostBp/10000)*B19</f>
        <v>0</v>
      </c>
      <c r="C23" s="10" t="n">
        <f aca="false">C2*(CostBp/10000)*C19</f>
        <v>0</v>
      </c>
      <c r="D23" s="10" t="n">
        <f aca="false">D2*(CostBp/10000)*D19</f>
        <v>4000</v>
      </c>
      <c r="E23" s="10" t="n">
        <f aca="false">E2*(CostBp/10000)*E19</f>
        <v>17821.7291088833</v>
      </c>
      <c r="F23" s="10" t="n">
        <f aca="false">F2*(CostBp/10000)*F19</f>
        <v>0</v>
      </c>
    </row>
    <row r="25" customFormat="false" ht="28.35" hidden="false" customHeight="false" outlineLevel="0" collapsed="false">
      <c r="A25" s="2" t="s">
        <v>55</v>
      </c>
    </row>
    <row r="26" customFormat="false" ht="15" hidden="false" customHeight="false" outlineLevel="0" collapsed="false">
      <c r="A26" s="2" t="s">
        <v>56</v>
      </c>
      <c r="B26" s="10" t="n">
        <f aca="false">SUMPRODUCT(B5:B12,Bonds!$G$2:$G$9)-B23</f>
        <v>-4488675.13962837</v>
      </c>
      <c r="C26" s="10" t="n">
        <f aca="false">SUMPRODUCT(C5:C12,Bonds!$G$2:$G$9)-C23</f>
        <v>-4842173.91351568</v>
      </c>
      <c r="D26" s="10" t="n">
        <f aca="false">SUMPRODUCT(D5:D12,Bonds!$G$2:$G$9)-D23</f>
        <v>-4528208.37150277</v>
      </c>
      <c r="E26" s="10" t="n">
        <f aca="false">SUMPRODUCT(E5:E12,Bonds!$G$2:$G$9)-E23</f>
        <v>-4664812.77694442</v>
      </c>
      <c r="F26" s="10" t="n">
        <f aca="false">SUMPRODUCT(F5:F12,Bonds!$G$2:$G$9)-F23</f>
        <v>-4695244.20675454</v>
      </c>
    </row>
    <row r="27" customFormat="false" ht="15" hidden="false" customHeight="false" outlineLevel="0" collapsed="false">
      <c r="A27" s="2" t="s">
        <v>57</v>
      </c>
      <c r="B27" s="10" t="n">
        <f aca="false">B26-C26</f>
        <v>353498.773887306</v>
      </c>
      <c r="C27" s="10" t="n">
        <f aca="false">C26-C26</f>
        <v>0</v>
      </c>
      <c r="D27" s="10" t="n">
        <f aca="false">D26-C26</f>
        <v>313965.542012908</v>
      </c>
      <c r="E27" s="10" t="n">
        <f aca="false">E26-C26</f>
        <v>177361.136571263</v>
      </c>
      <c r="F27" s="10" t="n">
        <f aca="false">F26-C26</f>
        <v>146929.706761144</v>
      </c>
    </row>
    <row r="28" customFormat="false" ht="15" hidden="false" customHeight="false" outlineLevel="0" collapsed="false">
      <c r="A28" s="2" t="s">
        <v>58</v>
      </c>
      <c r="B28" s="0" t="str">
        <f aca="false">IF(B27&gt;=-Budget,"inside","outside")</f>
        <v>inside</v>
      </c>
      <c r="C28" s="0" t="str">
        <f aca="false">IF(C27&gt;=-Budget,"inside","outside")</f>
        <v>inside</v>
      </c>
      <c r="D28" s="0" t="str">
        <f aca="false">IF(D27&gt;=-Budget,"inside","outside")</f>
        <v>inside</v>
      </c>
      <c r="E28" s="0" t="str">
        <f aca="false">IF(E27&gt;=-Budget,"inside","outside")</f>
        <v>inside</v>
      </c>
      <c r="F28" s="0" t="str">
        <f aca="false">IF(F27&gt;=-Budget,"inside","outside")</f>
        <v>inside</v>
      </c>
    </row>
    <row r="29" customFormat="false" ht="15" hidden="false" customHeight="false" outlineLevel="0" collapsed="false">
      <c r="A29" s="2" t="s">
        <v>59</v>
      </c>
      <c r="B29" s="10" t="n">
        <f aca="false">SUMPRODUCT(B5:B12,Bonds!$H$2:$H$9)-B23</f>
        <v>5611015.20693948</v>
      </c>
      <c r="C29" s="10" t="n">
        <f aca="false">SUMPRODUCT(C5:C12,Bonds!$H$2:$H$9)-C23</f>
        <v>5165998.51320169</v>
      </c>
      <c r="D29" s="10" t="n">
        <f aca="false">SUMPRODUCT(D5:D12,Bonds!$H$2:$H$9)-D23</f>
        <v>5562789.98177237</v>
      </c>
      <c r="E29" s="10" t="n">
        <f aca="false">SUMPRODUCT(E5:E12,Bonds!$H$2:$H$9)-E23</f>
        <v>5396150.98215368</v>
      </c>
      <c r="F29" s="10" t="n">
        <f aca="false">SUMPRODUCT(F5:F12,Bonds!$H$2:$H$9)-F23</f>
        <v>5343327.78001682</v>
      </c>
    </row>
    <row r="30" customFormat="false" ht="15" hidden="false" customHeight="false" outlineLevel="0" collapsed="false">
      <c r="A30" s="2" t="s">
        <v>60</v>
      </c>
      <c r="B30" s="10" t="n">
        <f aca="false">B29-C29</f>
        <v>445016.693737792</v>
      </c>
      <c r="C30" s="10" t="n">
        <f aca="false">C29-C29</f>
        <v>0</v>
      </c>
      <c r="D30" s="10" t="n">
        <f aca="false">D29-C29</f>
        <v>396791.468570679</v>
      </c>
      <c r="E30" s="10" t="n">
        <f aca="false">E29-C29</f>
        <v>230152.468951991</v>
      </c>
      <c r="F30" s="10" t="n">
        <f aca="false">F29-C29</f>
        <v>177329.266815126</v>
      </c>
    </row>
    <row r="31" customFormat="false" ht="15" hidden="false" customHeight="false" outlineLevel="0" collapsed="false">
      <c r="A31" s="2" t="s">
        <v>61</v>
      </c>
      <c r="B31" s="0" t="str">
        <f aca="false">IF(B30&gt;=-Budget,"inside","outside")</f>
        <v>inside</v>
      </c>
      <c r="C31" s="0" t="str">
        <f aca="false">IF(C30&gt;=-Budget,"inside","outside")</f>
        <v>inside</v>
      </c>
      <c r="D31" s="0" t="str">
        <f aca="false">IF(D30&gt;=-Budget,"inside","outside")</f>
        <v>inside</v>
      </c>
      <c r="E31" s="0" t="str">
        <f aca="false">IF(E30&gt;=-Budget,"inside","outside")</f>
        <v>inside</v>
      </c>
      <c r="F31" s="0" t="str">
        <f aca="false">IF(F30&gt;=-Budget,"inside","outside")</f>
        <v>inside</v>
      </c>
    </row>
    <row r="32" customFormat="false" ht="15" hidden="false" customHeight="false" outlineLevel="0" collapsed="false">
      <c r="A32" s="2" t="s">
        <v>62</v>
      </c>
      <c r="B32" s="10" t="n">
        <f aca="false">SUMPRODUCT(B5:B12,Bonds!$I$2:$I$9)-B23</f>
        <v>-3666609.51610386</v>
      </c>
      <c r="C32" s="10" t="n">
        <f aca="false">SUMPRODUCT(C5:C12,Bonds!$I$2:$I$9)-C23</f>
        <v>-1621896.74189206</v>
      </c>
      <c r="D32" s="10" t="n">
        <f aca="false">SUMPRODUCT(D5:D12,Bonds!$I$2:$I$9)-D23</f>
        <v>-3355801.45004586</v>
      </c>
      <c r="E32" s="10" t="n">
        <f aca="false">SUMPRODUCT(E5:E12,Bonds!$I$2:$I$9)-E23</f>
        <v>-2281825.22656849</v>
      </c>
      <c r="F32" s="10" t="n">
        <f aca="false">SUMPRODUCT(F5:F12,Bonds!$I$2:$I$9)-F23</f>
        <v>-2288389.54977067</v>
      </c>
    </row>
    <row r="33" customFormat="false" ht="15" hidden="false" customHeight="false" outlineLevel="0" collapsed="false">
      <c r="A33" s="2" t="s">
        <v>63</v>
      </c>
      <c r="B33" s="10" t="n">
        <f aca="false">B32-C32</f>
        <v>-2044712.77421179</v>
      </c>
      <c r="C33" s="10" t="n">
        <f aca="false">C32-C32</f>
        <v>0</v>
      </c>
      <c r="D33" s="10" t="n">
        <f aca="false">D32-C32</f>
        <v>-1733904.7081538</v>
      </c>
      <c r="E33" s="10" t="n">
        <f aca="false">E32-C32</f>
        <v>-659928.484676427</v>
      </c>
      <c r="F33" s="10" t="n">
        <f aca="false">F32-C32</f>
        <v>-666492.80787861</v>
      </c>
    </row>
    <row r="34" customFormat="false" ht="15" hidden="false" customHeight="false" outlineLevel="0" collapsed="false">
      <c r="A34" s="2" t="s">
        <v>64</v>
      </c>
      <c r="B34" s="0" t="str">
        <f aca="false">IF(B33&gt;=-Budget,"inside","outside")</f>
        <v>outside</v>
      </c>
      <c r="C34" s="0" t="str">
        <f aca="false">IF(C33&gt;=-Budget,"inside","outside")</f>
        <v>inside</v>
      </c>
      <c r="D34" s="0" t="str">
        <f aca="false">IF(D33&gt;=-Budget,"inside","outside")</f>
        <v>outside</v>
      </c>
      <c r="E34" s="0" t="str">
        <f aca="false">IF(E33&gt;=-Budget,"inside","outside")</f>
        <v>inside</v>
      </c>
      <c r="F34" s="0" t="str">
        <f aca="false">IF(F33&gt;=-Budget,"inside","outside")</f>
        <v>inside</v>
      </c>
    </row>
    <row r="35" customFormat="false" ht="15" hidden="false" customHeight="false" outlineLevel="0" collapsed="false">
      <c r="A35" s="2" t="s">
        <v>65</v>
      </c>
      <c r="B35" s="10" t="n">
        <f aca="false">SUMPRODUCT(B5:B12,Bonds!$J$2:$J$9)-B23</f>
        <v>1814301.20252862</v>
      </c>
      <c r="C35" s="10" t="n">
        <f aca="false">SUMPRODUCT(C5:C12,Bonds!$J$2:$J$9)-C23</f>
        <v>-765804.932292314</v>
      </c>
      <c r="D35" s="10" t="n">
        <f aca="false">SUMPRODUCT(D5:D12,Bonds!$J$2:$J$9)-D23</f>
        <v>1439027.85568336</v>
      </c>
      <c r="E35" s="10" t="n">
        <f aca="false">SUMPRODUCT(E5:E12,Bonds!$J$2:$J$9)-E23</f>
        <v>142296.22021356</v>
      </c>
      <c r="F35" s="10" t="n">
        <f aca="false">SUMPRODUCT(F5:F12,Bonds!$J$2:$J$9)-F23</f>
        <v>167289.584953227</v>
      </c>
    </row>
    <row r="36" customFormat="false" ht="15" hidden="false" customHeight="false" outlineLevel="0" collapsed="false">
      <c r="A36" s="2" t="s">
        <v>66</v>
      </c>
      <c r="B36" s="10" t="n">
        <f aca="false">B35-C35</f>
        <v>2580106.13482094</v>
      </c>
      <c r="C36" s="10" t="n">
        <f aca="false">C35-C35</f>
        <v>0</v>
      </c>
      <c r="D36" s="10" t="n">
        <f aca="false">D35-C35</f>
        <v>2204832.78797568</v>
      </c>
      <c r="E36" s="10" t="n">
        <f aca="false">E35-C35</f>
        <v>908101.152505874</v>
      </c>
      <c r="F36" s="10" t="n">
        <f aca="false">F35-C35</f>
        <v>933094.517245541</v>
      </c>
    </row>
    <row r="37" customFormat="false" ht="15" hidden="false" customHeight="false" outlineLevel="0" collapsed="false">
      <c r="A37" s="2" t="s">
        <v>67</v>
      </c>
      <c r="B37" s="0" t="str">
        <f aca="false">IF(B36&gt;=-Budget,"inside","outside")</f>
        <v>inside</v>
      </c>
      <c r="C37" s="0" t="str">
        <f aca="false">IF(C36&gt;=-Budget,"inside","outside")</f>
        <v>inside</v>
      </c>
      <c r="D37" s="0" t="str">
        <f aca="false">IF(D36&gt;=-Budget,"inside","outside")</f>
        <v>inside</v>
      </c>
      <c r="E37" s="0" t="str">
        <f aca="false">IF(E36&gt;=-Budget,"inside","outside")</f>
        <v>inside</v>
      </c>
      <c r="F37" s="0" t="str">
        <f aca="false">IF(F36&gt;=-Budget,"inside","outside")</f>
        <v>inside</v>
      </c>
    </row>
    <row r="38" customFormat="false" ht="15" hidden="false" customHeight="false" outlineLevel="0" collapsed="false">
      <c r="A38" s="2" t="s">
        <v>68</v>
      </c>
      <c r="B38" s="10" t="n">
        <f aca="false">SUMPRODUCT(B5:B12,Bonds!$K$2:$K$9)-B23</f>
        <v>1136871.1043017</v>
      </c>
      <c r="C38" s="10" t="n">
        <f aca="false">SUMPRODUCT(C5:C12,Bonds!$K$2:$K$9)-C23</f>
        <v>2957069.85583235</v>
      </c>
      <c r="D38" s="10" t="n">
        <f aca="false">SUMPRODUCT(D5:D12,Bonds!$K$2:$K$9)-D23</f>
        <v>1325187.37220014</v>
      </c>
      <c r="E38" s="10" t="n">
        <f aca="false">SUMPRODUCT(E5:E12,Bonds!$K$2:$K$9)-E23</f>
        <v>1975901.48262219</v>
      </c>
      <c r="F38" s="10" t="n">
        <f aca="false">SUMPRODUCT(F5:F12,Bonds!$K$2:$K$9)-F23</f>
        <v>2385854.24894482</v>
      </c>
    </row>
    <row r="39" customFormat="false" ht="15" hidden="false" customHeight="false" outlineLevel="0" collapsed="false">
      <c r="A39" s="2" t="s">
        <v>69</v>
      </c>
      <c r="B39" s="10" t="n">
        <f aca="false">B38-C38</f>
        <v>-1820198.75153065</v>
      </c>
      <c r="C39" s="10" t="n">
        <f aca="false">C38-C38</f>
        <v>0</v>
      </c>
      <c r="D39" s="10" t="n">
        <f aca="false">D38-C38</f>
        <v>-1631882.4836322</v>
      </c>
      <c r="E39" s="10" t="n">
        <f aca="false">E38-C38</f>
        <v>-981168.373210155</v>
      </c>
      <c r="F39" s="10" t="n">
        <f aca="false">F38-C38</f>
        <v>-571215.60688753</v>
      </c>
    </row>
    <row r="40" customFormat="false" ht="15" hidden="false" customHeight="false" outlineLevel="0" collapsed="false">
      <c r="A40" s="2" t="s">
        <v>70</v>
      </c>
      <c r="B40" s="0" t="str">
        <f aca="false">IF(B39&gt;=-Budget,"inside","outside")</f>
        <v>outside</v>
      </c>
      <c r="C40" s="0" t="str">
        <f aca="false">IF(C39&gt;=-Budget,"inside","outside")</f>
        <v>inside</v>
      </c>
      <c r="D40" s="0" t="str">
        <f aca="false">IF(D39&gt;=-Budget,"inside","outside")</f>
        <v>outside</v>
      </c>
      <c r="E40" s="0" t="str">
        <f aca="false">IF(E39&gt;=-Budget,"inside","outside")</f>
        <v>inside</v>
      </c>
      <c r="F40" s="0" t="str">
        <f aca="false">IF(F39&gt;=-Budget,"inside","outside")</f>
        <v>inside</v>
      </c>
    </row>
    <row r="41" customFormat="false" ht="15" hidden="false" customHeight="false" outlineLevel="0" collapsed="false">
      <c r="A41" s="2" t="s">
        <v>71</v>
      </c>
      <c r="B41" s="10" t="n">
        <f aca="false">SUMPRODUCT(B5:B12,Bonds!$L$2:$L$9)-B23</f>
        <v>-4142727.52209586</v>
      </c>
      <c r="C41" s="10" t="n">
        <f aca="false">SUMPRODUCT(C5:C12,Bonds!$L$2:$L$9)-C23</f>
        <v>-4012229.43091663</v>
      </c>
      <c r="D41" s="10" t="n">
        <f aca="false">SUMPRODUCT(D5:D12,Bonds!$L$2:$L$9)-D23</f>
        <v>-4107698.10196128</v>
      </c>
      <c r="E41" s="10" t="n">
        <f aca="false">SUMPRODUCT(E5:E12,Bonds!$L$2:$L$9)-E23</f>
        <v>-3986656.31297593</v>
      </c>
      <c r="F41" s="10" t="n">
        <f aca="false">SUMPRODUCT(F5:F12,Bonds!$L$2:$L$9)-F23</f>
        <v>-4061014.17900597</v>
      </c>
    </row>
    <row r="42" customFormat="false" ht="15" hidden="false" customHeight="false" outlineLevel="0" collapsed="false">
      <c r="A42" s="2" t="s">
        <v>72</v>
      </c>
      <c r="B42" s="10" t="n">
        <f aca="false">B41-C41</f>
        <v>-130498.091179228</v>
      </c>
      <c r="C42" s="10" t="n">
        <f aca="false">C41-C41</f>
        <v>0</v>
      </c>
      <c r="D42" s="10" t="n">
        <f aca="false">D41-C41</f>
        <v>-95468.6710446496</v>
      </c>
      <c r="E42" s="10" t="n">
        <f aca="false">E41-C41</f>
        <v>25573.1179407048</v>
      </c>
      <c r="F42" s="10" t="n">
        <f aca="false">F41-C41</f>
        <v>-48784.7480893419</v>
      </c>
    </row>
    <row r="43" customFormat="false" ht="15" hidden="false" customHeight="false" outlineLevel="0" collapsed="false">
      <c r="A43" s="2" t="s">
        <v>73</v>
      </c>
      <c r="B43" s="0" t="str">
        <f aca="false">IF(B42&gt;=-Budget,"inside","outside")</f>
        <v>inside</v>
      </c>
      <c r="C43" s="0" t="str">
        <f aca="false">IF(C42&gt;=-Budget,"inside","outside")</f>
        <v>inside</v>
      </c>
      <c r="D43" s="0" t="str">
        <f aca="false">IF(D42&gt;=-Budget,"inside","outside")</f>
        <v>inside</v>
      </c>
      <c r="E43" s="0" t="str">
        <f aca="false">IF(E42&gt;=-Budget,"inside","outside")</f>
        <v>inside</v>
      </c>
      <c r="F43" s="0" t="str">
        <f aca="false">IF(F42&gt;=-Budget,"inside","outside")</f>
        <v>inside</v>
      </c>
    </row>
    <row r="45" customFormat="false" ht="15" hidden="false" customHeight="false" outlineLevel="0" collapsed="false">
      <c r="A45" s="2" t="s">
        <v>74</v>
      </c>
      <c r="B45" s="0" t="s">
        <v>75</v>
      </c>
      <c r="C45" s="0" t="s">
        <v>76</v>
      </c>
      <c r="D45" s="0" t="s">
        <v>77</v>
      </c>
      <c r="E45" s="0" t="s">
        <v>77</v>
      </c>
      <c r="F45" s="0" t="s">
        <v>76</v>
      </c>
    </row>
    <row r="46" customFormat="false" ht="15" hidden="false" customHeight="false" outlineLevel="0" collapsed="false">
      <c r="A46" s="2" t="s">
        <v>78</v>
      </c>
      <c r="B46" s="13" t="b">
        <f aca="false">MIN(Weights!B2:B9)&gt;=-0.000000000001</f>
        <v>1</v>
      </c>
      <c r="C46" s="13" t="b">
        <f aca="false">MIN(Weights!C2:C9)&gt;=-0.000000000001</f>
        <v>1</v>
      </c>
      <c r="D46" s="13" t="b">
        <f aca="false">MIN(Weights!D2:D9)&gt;=-0.000000000001</f>
        <v>1</v>
      </c>
      <c r="E46" s="13" t="b">
        <f aca="false">MIN(Weights!E2:E9)&gt;=-0.000000000001</f>
        <v>1</v>
      </c>
      <c r="F46" s="13" t="b">
        <f aca="false">MIN(Weights!F2:F9)&gt;=-0.000000000001</f>
        <v>1</v>
      </c>
    </row>
    <row r="47" customFormat="false" ht="15" hidden="false" customHeight="false" outlineLevel="0" collapsed="false">
      <c r="A47" s="2" t="s">
        <v>79</v>
      </c>
      <c r="B47" s="13" t="b">
        <f aca="false">ABS(SUM(Weights!B2:B9)-1)&lt;=0.00000001</f>
        <v>1</v>
      </c>
      <c r="C47" s="13" t="b">
        <f aca="false">ABS(SUM(Weights!C2:C9)-1)&lt;=0.00000001</f>
        <v>1</v>
      </c>
      <c r="D47" s="13" t="b">
        <f aca="false">ABS(SUM(Weights!D2:D9)-1)&lt;=0.00000001</f>
        <v>1</v>
      </c>
      <c r="E47" s="13" t="b">
        <f aca="false">ABS(SUM(Weights!E2:E9)-1)&lt;=0.00000001</f>
        <v>1</v>
      </c>
      <c r="F47" s="13" t="b">
        <f aca="false">ABS(SUM(Weights!F2:F9)-1)&lt;=0.00000001</f>
        <v>1</v>
      </c>
    </row>
    <row r="48" customFormat="false" ht="15" hidden="false" customHeight="false" outlineLevel="0" collapsed="false">
      <c r="A48" s="2" t="s">
        <v>80</v>
      </c>
      <c r="B48" s="13" t="b">
        <f aca="false">AND(COUNT(Weights!B2:B9)=8,B46,B47)</f>
        <v>1</v>
      </c>
      <c r="C48" s="13" t="b">
        <f aca="false">AND(COUNT(Weights!C2:C9)=8,C46,C47)</f>
        <v>1</v>
      </c>
      <c r="D48" s="13" t="b">
        <f aca="false">AND(COUNT(Weights!D2:D9)=8,D46,D47)</f>
        <v>1</v>
      </c>
      <c r="E48" s="13" t="b">
        <f aca="false">AND(COUNT(Weights!E2:E9)=8,E46,E47)</f>
        <v>1</v>
      </c>
      <c r="F48" s="13" t="b">
        <f aca="false">AND(COUNT(Weights!F2:F9)=8,F46,F47)</f>
        <v>1</v>
      </c>
    </row>
    <row r="49" customFormat="false" ht="15" hidden="false" customHeight="false" outlineLevel="0" collapsed="false">
      <c r="A49" s="2" t="s">
        <v>81</v>
      </c>
      <c r="B49" s="13" t="b">
        <f aca="false">ABS(B15-DV01Target)&lt;=DV01Target*0.02+0.000001</f>
        <v>1</v>
      </c>
      <c r="C49" s="13" t="b">
        <f aca="false">ABS(C15-DV01Target)&lt;=DV01Target*0.02+0.000001</f>
        <v>1</v>
      </c>
      <c r="D49" s="13" t="b">
        <f aca="false">ABS(D15-DV01Target)&lt;=DV01Target*0.02+0.000001</f>
        <v>1</v>
      </c>
      <c r="E49" s="13" t="b">
        <f aca="false">ABS(E15-DV01Target)&lt;=DV01Target*0.02+0.000001</f>
        <v>1</v>
      </c>
      <c r="F49" s="13" t="b">
        <f aca="false">ABS(F15-DV01Target)&lt;=DV01Target*0.02+0.000001</f>
        <v>1</v>
      </c>
    </row>
    <row r="50" customFormat="false" ht="15" hidden="false" customHeight="false" outlineLevel="0" collapsed="false">
      <c r="A50" s="2" t="s">
        <v>82</v>
      </c>
      <c r="B50" s="13" t="b">
        <f aca="false">AND(B28="inside",B31="inside",B34="inside",B37="inside",B40="inside",B43="inside")</f>
        <v>0</v>
      </c>
      <c r="C50" s="13" t="b">
        <f aca="false">AND(C28="inside",C31="inside",C34="inside",C37="inside",C40="inside",C43="inside")</f>
        <v>1</v>
      </c>
      <c r="D50" s="13" t="b">
        <f aca="false">AND(D28="inside",D31="inside",D34="inside",D37="inside",D40="inside",D43="inside")</f>
        <v>0</v>
      </c>
      <c r="E50" s="13" t="b">
        <f aca="false">AND(E28="inside",E31="inside",E34="inside",E37="inside",E40="inside",E43="inside")</f>
        <v>1</v>
      </c>
      <c r="F50" s="13" t="b">
        <f aca="false">AND(F28="inside",F31="inside",F34="inside",F37="inside",F40="inside",F43="inside")</f>
        <v>1</v>
      </c>
    </row>
    <row r="51" customFormat="false" ht="15" hidden="false" customHeight="false" outlineLevel="0" collapsed="false">
      <c r="A51" s="2" t="s">
        <v>83</v>
      </c>
      <c r="B51" s="13" t="b">
        <f aca="false">B22&lt;=Inputs!$B$7+0.0000000001</f>
        <v>1</v>
      </c>
      <c r="C51" s="13" t="b">
        <f aca="false">C22&lt;=Inputs!$B$7+0.0000000001</f>
        <v>0</v>
      </c>
      <c r="D51" s="13" t="b">
        <f aca="false">D22&lt;=Inputs!$B$7+0.0000000001</f>
        <v>1</v>
      </c>
      <c r="E51" s="13" t="b">
        <f aca="false">E22&lt;=Inputs!$B$7+0.0000000001</f>
        <v>0</v>
      </c>
      <c r="F51" s="13" t="b">
        <f aca="false">F22&lt;=Inputs!$B$7+0.0000000001</f>
        <v>0</v>
      </c>
    </row>
    <row r="52" customFormat="false" ht="15" hidden="false" customHeight="false" outlineLevel="0" collapsed="false">
      <c r="A52" s="2" t="s">
        <v>84</v>
      </c>
      <c r="B52" s="0" t="str">
        <f aca="false">IF(B45="reference","reference",IF(NOT(B48),"invalid_portfolio",IF(NOT(AND(B49,B50)),"still_outside_budget",IF(NOT(B51),"needs_approval","executable_within_authority"))))</f>
        <v>still_outside_budget</v>
      </c>
      <c r="C52" s="0" t="str">
        <f aca="false">IF(C45="reference","reference",IF(NOT(C48),"invalid_portfolio",IF(NOT(AND(C49,C50)),"still_outside_budget",IF(NOT(C51),"needs_approval","executable_within_authority"))))</f>
        <v>reference</v>
      </c>
      <c r="D52" s="0" t="str">
        <f aca="false">IF(D45="reference","reference",IF(NOT(D48),"invalid_portfolio",IF(NOT(AND(D49,D50)),"still_outside_budget",IF(NOT(D51),"needs_approval","executable_within_authority"))))</f>
        <v>still_outside_budget</v>
      </c>
      <c r="E52" s="0" t="str">
        <f aca="false">IF(E45="reference","reference",IF(NOT(E48),"invalid_portfolio",IF(NOT(AND(E49,E50)),"still_outside_budget",IF(NOT(E51),"needs_approval","executable_within_authority"))))</f>
        <v>needs_approval</v>
      </c>
      <c r="F52" s="0" t="str">
        <f aca="false">IF(F45="reference","reference",IF(NOT(F48),"invalid_portfolio",IF(NOT(AND(F49,F50)),"still_outside_budget",IF(NOT(F51),"needs_approval","executable_within_authority"))))</f>
        <v>reference</v>
      </c>
    </row>
  </sheetData>
  <conditionalFormatting sqref="B26:F43">
    <cfRule type="cellIs" priority="2" operator="equal" aboveAverage="0" equalAverage="0" bottom="0" percent="0" rank="0" text="" dxfId="2">
      <formula>"outside"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6" min="1" style="0" width="32"/>
  </cols>
  <sheetData>
    <row r="1" customFormat="false" ht="17.35" hidden="false" customHeight="false" outlineLevel="0" collapsed="false">
      <c r="A1" s="1" t="s">
        <v>85</v>
      </c>
    </row>
    <row r="2" customFormat="false" ht="31.5" hidden="false" customHeight="true" outlineLevel="0" collapsed="false">
      <c r="A2" s="6" t="s">
        <v>86</v>
      </c>
    </row>
    <row r="4" customFormat="false" ht="15" hidden="false" customHeight="false" outlineLevel="0" collapsed="false">
      <c r="A4" s="2" t="s">
        <v>87</v>
      </c>
      <c r="B4" s="2" t="s">
        <v>88</v>
      </c>
      <c r="C4" s="2" t="s">
        <v>89</v>
      </c>
      <c r="D4" s="2" t="s">
        <v>90</v>
      </c>
      <c r="E4" s="2" t="s">
        <v>91</v>
      </c>
      <c r="F4" s="2" t="s">
        <v>92</v>
      </c>
    </row>
    <row r="5" customFormat="false" ht="15" hidden="false" customHeight="false" outlineLevel="0" collapsed="false">
      <c r="A5" s="0" t="s">
        <v>20</v>
      </c>
      <c r="B5" s="8" t="n">
        <v>0.504109589041096</v>
      </c>
      <c r="C5" s="7" t="n">
        <v>2</v>
      </c>
      <c r="D5" s="8" t="n">
        <v>0.0548681179684309</v>
      </c>
      <c r="E5" s="8" t="n">
        <f aca="false">EXP(-D5*B5)</f>
        <v>0.972719478226761</v>
      </c>
      <c r="F5" s="8" t="n">
        <f aca="false">C5*E5</f>
        <v>1.94543895645352</v>
      </c>
    </row>
    <row r="6" customFormat="false" ht="15" hidden="false" customHeight="false" outlineLevel="0" collapsed="false">
      <c r="A6" s="0" t="s">
        <v>93</v>
      </c>
      <c r="B6" s="8" t="n">
        <v>1.0027397260274</v>
      </c>
      <c r="C6" s="7" t="n">
        <v>2</v>
      </c>
      <c r="D6" s="8" t="n">
        <v>0.0527394989205436</v>
      </c>
      <c r="E6" s="8" t="n">
        <f aca="false">EXP(-D6*B6)</f>
        <v>0.948490039767161</v>
      </c>
      <c r="F6" s="8" t="n">
        <f aca="false">C6*E6</f>
        <v>1.89698007953432</v>
      </c>
    </row>
    <row r="7" customFormat="false" ht="15" hidden="false" customHeight="false" outlineLevel="0" collapsed="false">
      <c r="A7" s="0" t="s">
        <v>94</v>
      </c>
      <c r="B7" s="8" t="n">
        <v>1.50684931506849</v>
      </c>
      <c r="C7" s="7" t="n">
        <v>2</v>
      </c>
      <c r="D7" s="8" t="n">
        <v>0.0505321892199072</v>
      </c>
      <c r="E7" s="8" t="n">
        <f aca="false">EXP(-D7*B7)</f>
        <v>0.926682388858962</v>
      </c>
      <c r="F7" s="8" t="n">
        <f aca="false">C7*E7</f>
        <v>1.85336477771792</v>
      </c>
    </row>
    <row r="8" customFormat="false" ht="15" hidden="false" customHeight="false" outlineLevel="0" collapsed="false">
      <c r="A8" s="0" t="s">
        <v>22</v>
      </c>
      <c r="B8" s="8" t="n">
        <v>2.0027397260274</v>
      </c>
      <c r="C8" s="7" t="n">
        <v>2</v>
      </c>
      <c r="D8" s="8" t="n">
        <v>0.0484913139458786</v>
      </c>
      <c r="E8" s="8" t="n">
        <f aca="false">EXP(-D8*B8)</f>
        <v>0.907451206884847</v>
      </c>
      <c r="F8" s="8" t="n">
        <f aca="false">C8*E8</f>
        <v>1.81490241376969</v>
      </c>
    </row>
    <row r="9" customFormat="false" ht="15" hidden="false" customHeight="false" outlineLevel="0" collapsed="false">
      <c r="A9" s="0" t="s">
        <v>95</v>
      </c>
      <c r="B9" s="8" t="n">
        <v>2.50684931506849</v>
      </c>
      <c r="C9" s="7" t="n">
        <v>2</v>
      </c>
      <c r="D9" s="8" t="n">
        <v>0.0466435287958848</v>
      </c>
      <c r="E9" s="8" t="n">
        <f aca="false">EXP(-D9*B9)</f>
        <v>0.889648980297055</v>
      </c>
      <c r="F9" s="8" t="n">
        <f aca="false">C9*E9</f>
        <v>1.77929796059411</v>
      </c>
    </row>
    <row r="10" customFormat="false" ht="15" hidden="false" customHeight="false" outlineLevel="0" collapsed="false">
      <c r="A10" s="0" t="s">
        <v>24</v>
      </c>
      <c r="B10" s="8" t="n">
        <v>3.0027397260274</v>
      </c>
      <c r="C10" s="7" t="n">
        <v>2</v>
      </c>
      <c r="D10" s="8" t="n">
        <v>0.045084392005665</v>
      </c>
      <c r="E10" s="8" t="n">
        <f aca="false">EXP(-D10*B10)</f>
        <v>0.873386849342694</v>
      </c>
      <c r="F10" s="8" t="n">
        <f aca="false">C10*E10</f>
        <v>1.74677369868539</v>
      </c>
    </row>
    <row r="11" customFormat="false" ht="15" hidden="false" customHeight="false" outlineLevel="0" collapsed="false">
      <c r="A11" s="0" t="s">
        <v>96</v>
      </c>
      <c r="B11" s="8" t="n">
        <v>3.50684931506849</v>
      </c>
      <c r="C11" s="7" t="n">
        <v>2</v>
      </c>
      <c r="D11" s="8" t="n">
        <v>0.0437637786754931</v>
      </c>
      <c r="E11" s="8" t="n">
        <f aca="false">EXP(-D11*B11)</f>
        <v>0.85772394192562</v>
      </c>
      <c r="F11" s="8" t="n">
        <f aca="false">C11*E11</f>
        <v>1.71544788385124</v>
      </c>
    </row>
    <row r="12" customFormat="false" ht="15" hidden="false" customHeight="false" outlineLevel="0" collapsed="false">
      <c r="A12" s="0" t="s">
        <v>97</v>
      </c>
      <c r="B12" s="8" t="n">
        <v>4.0027397260274</v>
      </c>
      <c r="C12" s="7" t="n">
        <v>2</v>
      </c>
      <c r="D12" s="8" t="n">
        <v>0.0427075162156098</v>
      </c>
      <c r="E12" s="8" t="n">
        <f aca="false">EXP(-D12*B12)</f>
        <v>0.842866183717918</v>
      </c>
      <c r="F12" s="8" t="n">
        <f aca="false">C12*E12</f>
        <v>1.68573236743584</v>
      </c>
    </row>
    <row r="13" customFormat="false" ht="15" hidden="false" customHeight="false" outlineLevel="0" collapsed="false">
      <c r="A13" s="0" t="s">
        <v>98</v>
      </c>
      <c r="B13" s="8" t="n">
        <v>4.50684931506849</v>
      </c>
      <c r="C13" s="7" t="n">
        <v>2</v>
      </c>
      <c r="D13" s="8" t="n">
        <v>0.0418535898238451</v>
      </c>
      <c r="E13" s="8" t="n">
        <f aca="false">EXP(-D13*B13)</f>
        <v>0.828094647437041</v>
      </c>
      <c r="F13" s="8" t="n">
        <f aca="false">C13*E13</f>
        <v>1.65618929487408</v>
      </c>
    </row>
    <row r="14" customFormat="false" ht="15" hidden="false" customHeight="false" outlineLevel="0" collapsed="false">
      <c r="A14" s="0" t="s">
        <v>26</v>
      </c>
      <c r="B14" s="8" t="n">
        <v>5.0054794520548</v>
      </c>
      <c r="C14" s="7" t="n">
        <v>102</v>
      </c>
      <c r="D14" s="8" t="n">
        <v>0.0411969909193931</v>
      </c>
      <c r="E14" s="8" t="n">
        <f aca="false">EXP(-D14*B14)</f>
        <v>0.813661626606189</v>
      </c>
      <c r="F14" s="8" t="n">
        <f aca="false">C14*E14</f>
        <v>82.9934859138313</v>
      </c>
    </row>
    <row r="16" customFormat="false" ht="15" hidden="false" customHeight="false" outlineLevel="0" collapsed="false">
      <c r="E16" s="2" t="s">
        <v>99</v>
      </c>
      <c r="F16" s="8" t="n">
        <f aca="false">SUM(F5:F14)</f>
        <v>99.0876133467474</v>
      </c>
    </row>
    <row r="17" customFormat="false" ht="15" hidden="false" customHeight="false" outlineLevel="0" collapsed="false">
      <c r="E17" s="0" t="s">
        <v>100</v>
      </c>
      <c r="F17" s="8" t="n">
        <f aca="false">INDEX(Bonds!D:D,MATCH("S05Y",Bonds!A:A,0))</f>
        <v>99.0876133467474</v>
      </c>
    </row>
    <row r="18" customFormat="false" ht="15" hidden="false" customHeight="false" outlineLevel="0" collapsed="false">
      <c r="E18" s="0" t="s">
        <v>101</v>
      </c>
      <c r="F18" s="8" t="n">
        <f aca="false">F16-F17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8"/>
    <col collapsed="false" customWidth="true" hidden="false" outlineLevel="0" max="2" min="2" style="0" width="22"/>
  </cols>
  <sheetData>
    <row r="1" customFormat="false" ht="17.35" hidden="false" customHeight="false" outlineLevel="0" collapsed="false">
      <c r="A1" s="1" t="s">
        <v>102</v>
      </c>
    </row>
    <row r="3" customFormat="false" ht="36" hidden="false" customHeight="true" outlineLevel="0" collapsed="false">
      <c r="A3" s="6" t="s">
        <v>103</v>
      </c>
    </row>
    <row r="4" customFormat="false" ht="36" hidden="false" customHeight="true" outlineLevel="0" collapsed="false">
      <c r="A4" s="6" t="s">
        <v>104</v>
      </c>
    </row>
    <row r="5" customFormat="false" ht="36" hidden="false" customHeight="true" outlineLevel="0" collapsed="false">
      <c r="A5" s="6" t="s">
        <v>105</v>
      </c>
    </row>
    <row r="6" customFormat="false" ht="36" hidden="false" customHeight="true" outlineLevel="0" collapsed="false">
      <c r="A6" s="6" t="s">
        <v>106</v>
      </c>
    </row>
    <row r="7" customFormat="false" ht="36" hidden="false" customHeight="true" outlineLevel="0" collapsed="false">
      <c r="A7" s="6" t="s">
        <v>107</v>
      </c>
    </row>
    <row r="8" customFormat="false" ht="36" hidden="false" customHeight="true" outlineLevel="0" collapsed="false">
      <c r="A8" s="6" t="s">
        <v>108</v>
      </c>
    </row>
    <row r="9" customFormat="false" ht="36" hidden="false" customHeight="true" outlineLevel="0" collapsed="false">
      <c r="A9" s="6" t="s">
        <v>109</v>
      </c>
    </row>
    <row r="10" customFormat="false" ht="36" hidden="false" customHeight="true" outlineLevel="0" collapsed="false">
      <c r="A10" s="6" t="s">
        <v>110</v>
      </c>
    </row>
    <row r="12" customFormat="false" ht="15" hidden="false" customHeight="false" outlineLevel="0" collapsed="false">
      <c r="A12" s="2" t="s">
        <v>111</v>
      </c>
      <c r="B12" s="10" t="n">
        <f aca="false">MIN(Portfolio!E27,Portfolio!E30,Portfolio!E33,Portfolio!E36,Portfolio!E39,Portfolio!E42)+Budget</f>
        <v>18831.6267898451</v>
      </c>
    </row>
    <row r="13" customFormat="false" ht="15" hidden="false" customHeight="false" outlineLevel="0" collapsed="false">
      <c r="A13" s="2" t="s">
        <v>112</v>
      </c>
      <c r="B13" s="14" t="n">
        <f aca="false">CostBp+B12/Portfolio!E19*10000</f>
        <v>4.11333329945616</v>
      </c>
    </row>
    <row r="14" customFormat="false" ht="15" hidden="false" customHeight="false" outlineLevel="0" collapsed="false">
      <c r="A14" s="2" t="s">
        <v>113</v>
      </c>
      <c r="B14" s="0" t="str">
        <f aca="false">IF(4.2&gt;B13,"yes","no")</f>
        <v>yes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2026-10-03T15:40:44Z</dcterms:created>
  <dc:creator>openpyxl</dc:creator>
  <dc:description/>
  <dc:language>en-US</dc:language>
  <cp:lastModifiedBy/>
  <dcterms:modified xsi:type="dcterms:W3CDTF">2026-10-03T15:40:44Z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
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Bonds" sheetId="2" state="visible" r:id="rId2"/>
    <sheet xmlns:r="http://schemas.openxmlformats.org/officeDocument/2006/relationships" name="Weight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FiveYearCashFlows" sheetId="5" state="visible" r:id="rId5"/>
    <sheet xmlns:r="http://schemas.openxmlformats.org/officeDocument/2006/relationships" name="Notes" sheetId="6" state="visible" r:id="rId6"/>
  </sheets>
  <definedNames>
    <definedName name="NAV">Inputs!$B$3</definedName>
    <definedName name="DV01Target">Inputs!$B$4</definedName>
    <definedName name="Budget">Inputs!$B$5</definedName>
    <definedName name="CostBp">Inputs!$B$6</definedName>
    <definedName name="_xlnm._FilterDatabase" localSheetId="1" hidden="1">'Bonds'!$A$1:$L$9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00"/>
    <numFmt numFmtId="165" formatCode="0.00000000"/>
    <numFmt numFmtId="166" formatCode="0.000000%"/>
    <numFmt numFmtId="167" formatCode="#,##0.0000"/>
    <numFmt numFmtId="168" formatCode="0.0000%"/>
    <numFmt numFmtId="169" formatCode="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3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1" t="inlineStr">
        <is>
          <t>Case inputs</t>
        </is>
      </c>
    </row>
    <row r="3">
      <c r="A3" s="2" t="inlineStr">
        <is>
          <t>Initial NAV</t>
        </is>
      </c>
      <c r="B3" s="3" t="n">
        <v>100000000</v>
      </c>
    </row>
    <row r="4">
      <c r="A4" s="2" t="inlineStr">
        <is>
          <t>DV01 target per bp</t>
        </is>
      </c>
      <c r="B4" s="3" t="n">
        <v>50000</v>
      </c>
    </row>
    <row r="5">
      <c r="A5" s="2" t="inlineStr">
        <is>
          <t>Relative loss budget</t>
        </is>
      </c>
      <c r="B5" s="3" t="n">
        <v>1000000</v>
      </c>
    </row>
    <row r="6">
      <c r="A6" s="2" t="inlineStr">
        <is>
          <t>One-sided transaction cost (bp)</t>
        </is>
      </c>
      <c r="B6" s="4" t="n">
        <v>2</v>
      </c>
    </row>
    <row r="7">
      <c r="A7" s="2" t="inlineStr">
        <is>
          <t>Routine turnover cap</t>
        </is>
      </c>
      <c r="B7" s="5" t="n">
        <v>0.1</v>
      </c>
    </row>
    <row r="9">
      <c r="A9" s="6" t="inlineStr">
        <is>
          <t>Edit B6, the weight block, and the apply-cost flags. Bond prices and scenario returns are values from the Python revaluation. NAV, DV01, turnover, cost, and relative P&amp;L are formulas.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2" t="inlineStr">
        <is>
          <t>Instrument</t>
        </is>
      </c>
      <c r="B1" s="2" t="inlineStr">
        <is>
          <t>Coupon</t>
        </is>
      </c>
      <c r="C1" s="2" t="inlineStr">
        <is>
          <t>Maturity</t>
        </is>
      </c>
      <c r="D1" s="2" t="inlineStr">
        <is>
          <t>Dirty per 100</t>
        </is>
      </c>
      <c r="E1" s="2" t="inlineStr">
        <is>
          <t>DV01 per 100</t>
        </is>
      </c>
      <c r="F1" s="2" t="inlineStr">
        <is>
          <t>DV01 per dollar</t>
        </is>
      </c>
      <c r="G1" s="2" t="inlineStr">
        <is>
          <t>parallel_plus_100bp</t>
        </is>
      </c>
      <c r="H1" s="2" t="inlineStr">
        <is>
          <t>parallel_minus_100bp</t>
        </is>
      </c>
      <c r="I1" s="2" t="inlineStr">
        <is>
          <t>twist_steepener</t>
        </is>
      </c>
      <c r="J1" s="2" t="inlineStr">
        <is>
          <t>twist_flattener</t>
        </is>
      </c>
      <c r="K1" s="2" t="inlineStr">
        <is>
          <t>hist_2023_03_08_to_2023_03_13</t>
        </is>
      </c>
      <c r="L1" s="2" t="inlineStr">
        <is>
          <t>hist_2023_07_31_to_2023_10_19</t>
        </is>
      </c>
    </row>
    <row r="2">
      <c r="A2" t="inlineStr">
        <is>
          <t>S06M</t>
        </is>
      </c>
      <c r="B2" s="5" t="n">
        <v>0.0475</v>
      </c>
      <c r="C2" t="inlineStr">
        <is>
          <t>2024-01-31</t>
        </is>
      </c>
      <c r="D2" s="7" t="n">
        <v>99.58215658346464</v>
      </c>
      <c r="E2" s="8" t="n">
        <v>0.005020032005234043</v>
      </c>
      <c r="F2" s="8">
        <f>E2/D2</f>
        <v/>
      </c>
      <c r="G2" s="8" t="n">
        <v>-0.005028410890907119</v>
      </c>
      <c r="H2" s="8" t="n">
        <v>0.005053823592500406</v>
      </c>
      <c r="I2" s="8" t="n">
        <v>0.002523727196768373</v>
      </c>
      <c r="J2" s="8" t="n">
        <v>-0.005028410890907119</v>
      </c>
      <c r="K2" s="8" t="n">
        <v>0.001934161529070065</v>
      </c>
      <c r="L2" s="8" t="n">
        <v>-4.62499681843452e-05</v>
      </c>
    </row>
    <row r="3">
      <c r="A3" t="inlineStr">
        <is>
          <t>S02Y</t>
        </is>
      </c>
      <c r="B3" s="5" t="n">
        <v>0.045</v>
      </c>
      <c r="C3" t="inlineStr">
        <is>
          <t>2025-07-31</t>
        </is>
      </c>
      <c r="D3" s="7" t="n">
        <v>99.19464269439457</v>
      </c>
      <c r="E3" s="8" t="n">
        <v>0.0192213071021925</v>
      </c>
      <c r="F3" s="8">
        <f>E3/D3</f>
        <v/>
      </c>
      <c r="G3" s="8" t="n">
        <v>-0.019187284441261</v>
      </c>
      <c r="H3" s="8" t="n">
        <v>0.01956998041121691</v>
      </c>
      <c r="I3" s="8" t="n">
        <v>0.009726956096734119</v>
      </c>
      <c r="J3" s="8" t="n">
        <v>-0.0191778517472204</v>
      </c>
      <c r="K3" s="8" t="n">
        <v>0.01853802608646579</v>
      </c>
      <c r="L3" s="8" t="n">
        <v>-0.004966690490016475</v>
      </c>
    </row>
    <row r="4">
      <c r="A4" t="inlineStr">
        <is>
          <t>S03Y</t>
        </is>
      </c>
      <c r="B4" s="5" t="n">
        <v>0.0425</v>
      </c>
      <c r="C4" t="inlineStr">
        <is>
          <t>2026-07-31</t>
        </is>
      </c>
      <c r="D4" s="7" t="n">
        <v>99.06524018894658</v>
      </c>
      <c r="E4" s="8" t="n">
        <v>0.02824597887756397</v>
      </c>
      <c r="F4" s="8">
        <f>E4/D4</f>
        <v/>
      </c>
      <c r="G4" s="8" t="n">
        <v>-0.02809727693462739</v>
      </c>
      <c r="H4" s="8" t="n">
        <v>0.02893603540157907</v>
      </c>
      <c r="I4" s="8" t="n">
        <v>0.009170018828470596</v>
      </c>
      <c r="J4" s="8" t="n">
        <v>-0.02310604894358843</v>
      </c>
      <c r="K4" s="8" t="n">
        <v>0.02353938595591216</v>
      </c>
      <c r="L4" s="8" t="n">
        <v>-0.0130180421796875</v>
      </c>
    </row>
    <row r="5">
      <c r="A5" t="inlineStr">
        <is>
          <t>S05Y</t>
        </is>
      </c>
      <c r="B5" s="5" t="n">
        <v>0.04</v>
      </c>
      <c r="C5" t="inlineStr">
        <is>
          <t>2028-07-31</t>
        </is>
      </c>
      <c r="D5" s="7" t="n">
        <v>99.08761334674742</v>
      </c>
      <c r="E5" s="8" t="n">
        <v>0.04546657161819212</v>
      </c>
      <c r="F5" s="8">
        <f>E5/D5</f>
        <v/>
      </c>
      <c r="G5" s="8" t="n">
        <v>-0.04479211617717223</v>
      </c>
      <c r="H5" s="8" t="n">
        <v>0.04701479670732694</v>
      </c>
      <c r="I5" s="8" t="n">
        <v>-0.001598514993953444</v>
      </c>
      <c r="J5" s="8" t="n">
        <v>-0.02110504283843249</v>
      </c>
      <c r="K5" s="8" t="n">
        <v>0.02973685872723272</v>
      </c>
      <c r="L5" s="8" t="n">
        <v>-0.03373701399078109</v>
      </c>
    </row>
    <row r="6">
      <c r="A6" t="inlineStr">
        <is>
          <t>S07Y</t>
        </is>
      </c>
      <c r="B6" s="5" t="n">
        <v>0.04</v>
      </c>
      <c r="C6" t="inlineStr">
        <is>
          <t>2030-07-31</t>
        </is>
      </c>
      <c r="D6" s="7" t="n">
        <v>99.56668158504922</v>
      </c>
      <c r="E6" s="8" t="n">
        <v>0.0616029332046395</v>
      </c>
      <c r="F6" s="8">
        <f>E6/D6</f>
        <v/>
      </c>
      <c r="G6" s="8" t="n">
        <v>-0.05984876408984931</v>
      </c>
      <c r="H6" s="8" t="n">
        <v>0.06398768309940549</v>
      </c>
      <c r="I6" s="8" t="n">
        <v>-0.02315391164415467</v>
      </c>
      <c r="J6" s="8" t="n">
        <v>-0.007360766879083206</v>
      </c>
      <c r="K6" s="8" t="n">
        <v>0.03398378421200142</v>
      </c>
      <c r="L6" s="8" t="n">
        <v>-0.05440070798431185</v>
      </c>
    </row>
    <row r="7">
      <c r="A7" t="inlineStr">
        <is>
          <t>S10Y</t>
        </is>
      </c>
      <c r="B7" s="5" t="n">
        <v>0.04</v>
      </c>
      <c r="C7" t="inlineStr">
        <is>
          <t>2033-07-31</t>
        </is>
      </c>
      <c r="D7" s="7" t="n">
        <v>99.58242250837584</v>
      </c>
      <c r="E7" s="8" t="n">
        <v>0.08324269601675383</v>
      </c>
      <c r="F7" s="8">
        <f>E7/D7</f>
        <v/>
      </c>
      <c r="G7" s="8" t="n">
        <v>-0.07980470532030351</v>
      </c>
      <c r="H7" s="8" t="n">
        <v>0.08763101813346694</v>
      </c>
      <c r="I7" s="8" t="n">
        <v>-0.06997407419093081</v>
      </c>
      <c r="J7" s="8" t="n">
        <v>0.03260877186519164</v>
      </c>
      <c r="K7" s="8" t="n">
        <v>0.03776865874158081</v>
      </c>
      <c r="L7" s="8" t="n">
        <v>-0.08236743136487848</v>
      </c>
    </row>
    <row r="8">
      <c r="A8" t="inlineStr">
        <is>
          <t>S20Y</t>
        </is>
      </c>
      <c r="B8" s="5" t="n">
        <v>0.04</v>
      </c>
      <c r="C8" t="inlineStr">
        <is>
          <t>2043-07-31</t>
        </is>
      </c>
      <c r="D8" s="7" t="n">
        <v>98.18155286117158</v>
      </c>
      <c r="E8" s="8" t="n">
        <v>0.1365616015201496</v>
      </c>
      <c r="F8" s="8">
        <f>E8/D8</f>
        <v/>
      </c>
      <c r="G8" s="8" t="n">
        <v>-0.1277300334692599</v>
      </c>
      <c r="H8" s="8" t="n">
        <v>0.1519522790901137</v>
      </c>
      <c r="I8" s="8" t="n">
        <v>-0.1177591373678973</v>
      </c>
      <c r="J8" s="8" t="n">
        <v>0.06233428997741299</v>
      </c>
      <c r="K8" s="8" t="n">
        <v>0.03933760102140375</v>
      </c>
      <c r="L8" s="8" t="n">
        <v>-0.144308171673966</v>
      </c>
    </row>
    <row r="9">
      <c r="A9" t="inlineStr">
        <is>
          <t>S30Y</t>
        </is>
      </c>
      <c r="B9" s="5" t="n">
        <v>0.04</v>
      </c>
      <c r="C9" t="inlineStr">
        <is>
          <t>2053-07-31</t>
        </is>
      </c>
      <c r="D9" s="7" t="n">
        <v>97.09272088387711</v>
      </c>
      <c r="E9" s="8" t="n">
        <v>0.1701319654522635</v>
      </c>
      <c r="F9" s="8">
        <f>E9/D9</f>
        <v/>
      </c>
      <c r="G9" s="8" t="n">
        <v>-0.1559061792503148</v>
      </c>
      <c r="H9" s="8" t="n">
        <v>0.1983198954747351</v>
      </c>
      <c r="I9" s="8" t="n">
        <v>-0.1458234660073723</v>
      </c>
      <c r="J9" s="8" t="n">
        <v>0.08268353433761279</v>
      </c>
      <c r="K9" s="8" t="n">
        <v>0.03764723332513819</v>
      </c>
      <c r="L9" s="8" t="n">
        <v>-0.1566879130028174</v>
      </c>
    </row>
  </sheetData>
  <autoFilter ref="A1:L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Instrument</t>
        </is>
      </c>
      <c r="B1" s="2" t="inlineStr">
        <is>
          <t>Current</t>
        </is>
      </c>
      <c r="C1" s="2" t="inlineStr">
        <is>
          <t>Benchmark</t>
        </is>
      </c>
      <c r="D1" s="2" t="inlineStr">
        <is>
          <t>Candidate 10%</t>
        </is>
      </c>
      <c r="E1" s="2" t="inlineStr">
        <is>
          <t>Expanded S05Y</t>
        </is>
      </c>
      <c r="F1" s="2" t="inlineStr">
        <is>
          <t>Control 2y/20y</t>
        </is>
      </c>
    </row>
    <row r="2">
      <c r="A2" t="inlineStr">
        <is>
          <t>S06M</t>
        </is>
      </c>
      <c r="B2" s="9" t="n">
        <v>0.7358236343314039</v>
      </c>
      <c r="C2" s="9" t="n">
        <v>0</v>
      </c>
      <c r="D2" s="9" t="n">
        <v>0.6598234472213773</v>
      </c>
      <c r="E2" s="9" t="n">
        <v>0.3972099476065699</v>
      </c>
      <c r="F2" s="9" t="n">
        <v>0</v>
      </c>
    </row>
    <row r="3">
      <c r="A3" t="inlineStr">
        <is>
          <t>S02Y</t>
        </is>
      </c>
      <c r="B3" s="9" t="n">
        <v>0</v>
      </c>
      <c r="C3" s="9" t="n">
        <v>0.1506478963611312</v>
      </c>
      <c r="D3" s="9" t="n">
        <v>0</v>
      </c>
      <c r="E3" s="9" t="n">
        <v>0</v>
      </c>
      <c r="F3" s="9" t="n">
        <v>0.7442007146960848</v>
      </c>
    </row>
    <row r="4">
      <c r="A4" t="inlineStr">
        <is>
          <t>S03Y</t>
        </is>
      </c>
      <c r="B4" s="9" t="n">
        <v>0</v>
      </c>
      <c r="C4" s="9" t="n">
        <v>0.15</v>
      </c>
      <c r="D4" s="9" t="n">
        <v>0</v>
      </c>
      <c r="E4" s="9" t="n">
        <v>0</v>
      </c>
      <c r="F4" s="9" t="n">
        <v>0</v>
      </c>
    </row>
    <row r="5">
      <c r="A5" t="inlineStr">
        <is>
          <t>S05Y</t>
        </is>
      </c>
      <c r="B5" s="9" t="n">
        <v>0</v>
      </c>
      <c r="C5" s="9" t="n">
        <v>0.3</v>
      </c>
      <c r="D5" s="9" t="n">
        <v>0.1</v>
      </c>
      <c r="E5" s="9" t="n">
        <v>0.4455432277220821</v>
      </c>
      <c r="F5" s="9" t="n">
        <v>0</v>
      </c>
    </row>
    <row r="6">
      <c r="A6" t="inlineStr">
        <is>
          <t>S07Y</t>
        </is>
      </c>
      <c r="B6" s="9" t="n">
        <v>0</v>
      </c>
      <c r="C6" s="9" t="n">
        <v>0.2</v>
      </c>
      <c r="D6" s="9" t="n">
        <v>0</v>
      </c>
      <c r="E6" s="9" t="n">
        <v>0</v>
      </c>
      <c r="F6" s="9" t="n">
        <v>0</v>
      </c>
    </row>
    <row r="7">
      <c r="A7" t="inlineStr">
        <is>
          <t>S10Y</t>
        </is>
      </c>
      <c r="B7" s="9" t="n">
        <v>0</v>
      </c>
      <c r="C7" s="9" t="n">
        <v>0.1993521036388687</v>
      </c>
      <c r="D7" s="9" t="n">
        <v>0</v>
      </c>
      <c r="E7" s="9" t="n">
        <v>0</v>
      </c>
      <c r="F7" s="9" t="n">
        <v>0</v>
      </c>
    </row>
    <row r="8">
      <c r="A8" t="inlineStr">
        <is>
          <t>S20Y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0.2557992853039152</v>
      </c>
    </row>
    <row r="9">
      <c r="A9" t="inlineStr">
        <is>
          <t>S30Y</t>
        </is>
      </c>
      <c r="B9" s="9" t="n">
        <v>0.2641763656685961</v>
      </c>
      <c r="C9" s="9" t="n">
        <v>0</v>
      </c>
      <c r="D9" s="9" t="n">
        <v>0.2401765527786227</v>
      </c>
      <c r="E9" s="9" t="n">
        <v>0.157246824671348</v>
      </c>
      <c r="F9" s="9" t="n">
        <v>0</v>
      </c>
    </row>
    <row r="11">
      <c r="A11" s="2" t="inlineStr">
        <is>
          <t>Apply one-sided cost</t>
        </is>
      </c>
      <c r="B11" t="n">
        <v>0</v>
      </c>
      <c r="C11" t="n">
        <v>0</v>
      </c>
      <c r="D11" t="n">
        <v>1</v>
      </c>
      <c r="E11" t="n">
        <v>1</v>
      </c>
      <c r="F11" t="n">
        <v>0</v>
      </c>
    </row>
    <row r="12">
      <c r="A12" t="inlineStr">
        <is>
          <t>1 charges buys and sells against this column. Current, benchmark, and control stay at 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2" customHeight="1">
      <c r="A1" s="2" t="inlineStr">
        <is>
          <t>Item</t>
        </is>
      </c>
      <c r="B1" s="2" t="inlineStr">
        <is>
          <t>Current</t>
        </is>
      </c>
      <c r="C1" s="2" t="inlineStr">
        <is>
          <t>Benchmark</t>
        </is>
      </c>
      <c r="D1" s="2" t="inlineStr">
        <is>
          <t>Candidate 10%</t>
        </is>
      </c>
      <c r="E1" s="2" t="inlineStr">
        <is>
          <t>Expanded S05Y</t>
        </is>
      </c>
      <c r="F1" s="2" t="inlineStr">
        <is>
          <t>Control 2y/20y</t>
        </is>
      </c>
    </row>
    <row r="2">
      <c r="A2" t="inlineStr">
        <is>
          <t>Apply cost</t>
        </is>
      </c>
      <c r="B2">
        <f>Weights!B11</f>
        <v/>
      </c>
      <c r="C2">
        <f>Weights!C11</f>
        <v/>
      </c>
      <c r="D2">
        <f>Weights!D11</f>
        <v/>
      </c>
      <c r="E2">
        <f>Weights!E11</f>
        <v/>
      </c>
      <c r="F2">
        <f>Weights!F11</f>
        <v/>
      </c>
    </row>
    <row r="4">
      <c r="A4" s="2" t="inlineStr">
        <is>
          <t>Market value</t>
        </is>
      </c>
    </row>
    <row r="5">
      <c r="A5">
        <f>Weights!A2</f>
        <v/>
      </c>
      <c r="B5" s="10">
        <f>Weights!B2*NAV</f>
        <v/>
      </c>
      <c r="C5" s="10">
        <f>Weights!C2*NAV</f>
        <v/>
      </c>
      <c r="D5" s="10">
        <f>Weights!D2*NAV</f>
        <v/>
      </c>
      <c r="E5" s="10">
        <f>Weights!E2*NAV</f>
        <v/>
      </c>
      <c r="F5" s="10">
        <f>Weights!F2*NAV</f>
        <v/>
      </c>
    </row>
    <row r="6">
      <c r="A6">
        <f>Weights!A3</f>
        <v/>
      </c>
      <c r="B6" s="10">
        <f>Weights!B3*NAV</f>
        <v/>
      </c>
      <c r="C6" s="10">
        <f>Weights!C3*NAV</f>
        <v/>
      </c>
      <c r="D6" s="10">
        <f>Weights!D3*NAV</f>
        <v/>
      </c>
      <c r="E6" s="10">
        <f>Weights!E3*NAV</f>
        <v/>
      </c>
      <c r="F6" s="10">
        <f>Weights!F3*NAV</f>
        <v/>
      </c>
    </row>
    <row r="7">
      <c r="A7">
        <f>Weights!A4</f>
        <v/>
      </c>
      <c r="B7" s="10">
        <f>Weights!B4*NAV</f>
        <v/>
      </c>
      <c r="C7" s="10">
        <f>Weights!C4*NAV</f>
        <v/>
      </c>
      <c r="D7" s="10">
        <f>Weights!D4*NAV</f>
        <v/>
      </c>
      <c r="E7" s="10">
        <f>Weights!E4*NAV</f>
        <v/>
      </c>
      <c r="F7" s="10">
        <f>Weights!F4*NAV</f>
        <v/>
      </c>
    </row>
    <row r="8">
      <c r="A8">
        <f>Weights!A5</f>
        <v/>
      </c>
      <c r="B8" s="10">
        <f>Weights!B5*NAV</f>
        <v/>
      </c>
      <c r="C8" s="10">
        <f>Weights!C5*NAV</f>
        <v/>
      </c>
      <c r="D8" s="10">
        <f>Weights!D5*NAV</f>
        <v/>
      </c>
      <c r="E8" s="10">
        <f>Weights!E5*NAV</f>
        <v/>
      </c>
      <c r="F8" s="10">
        <f>Weights!F5*NAV</f>
        <v/>
      </c>
    </row>
    <row r="9">
      <c r="A9">
        <f>Weights!A6</f>
        <v/>
      </c>
      <c r="B9" s="10">
        <f>Weights!B6*NAV</f>
        <v/>
      </c>
      <c r="C9" s="10">
        <f>Weights!C6*NAV</f>
        <v/>
      </c>
      <c r="D9" s="10">
        <f>Weights!D6*NAV</f>
        <v/>
      </c>
      <c r="E9" s="10">
        <f>Weights!E6*NAV</f>
        <v/>
      </c>
      <c r="F9" s="10">
        <f>Weights!F6*NAV</f>
        <v/>
      </c>
    </row>
    <row r="10">
      <c r="A10">
        <f>Weights!A7</f>
        <v/>
      </c>
      <c r="B10" s="10">
        <f>Weights!B7*NAV</f>
        <v/>
      </c>
      <c r="C10" s="10">
        <f>Weights!C7*NAV</f>
        <v/>
      </c>
      <c r="D10" s="10">
        <f>Weights!D7*NAV</f>
        <v/>
      </c>
      <c r="E10" s="10">
        <f>Weights!E7*NAV</f>
        <v/>
      </c>
      <c r="F10" s="10">
        <f>Weights!F7*NAV</f>
        <v/>
      </c>
    </row>
    <row r="11">
      <c r="A11">
        <f>Weights!A8</f>
        <v/>
      </c>
      <c r="B11" s="10">
        <f>Weights!B8*NAV</f>
        <v/>
      </c>
      <c r="C11" s="10">
        <f>Weights!C8*NAV</f>
        <v/>
      </c>
      <c r="D11" s="10">
        <f>Weights!D8*NAV</f>
        <v/>
      </c>
      <c r="E11" s="10">
        <f>Weights!E8*NAV</f>
        <v/>
      </c>
      <c r="F11" s="10">
        <f>Weights!F8*NAV</f>
        <v/>
      </c>
    </row>
    <row r="12">
      <c r="A12">
        <f>Weights!A9</f>
        <v/>
      </c>
      <c r="B12" s="10">
        <f>Weights!B9*NAV</f>
        <v/>
      </c>
      <c r="C12" s="10">
        <f>Weights!C9*NAV</f>
        <v/>
      </c>
      <c r="D12" s="10">
        <f>Weights!D9*NAV</f>
        <v/>
      </c>
      <c r="E12" s="10">
        <f>Weights!E9*NAV</f>
        <v/>
      </c>
      <c r="F12" s="10">
        <f>Weights!F9*NAV</f>
        <v/>
      </c>
    </row>
    <row r="13">
      <c r="A13" s="2" t="inlineStr">
        <is>
          <t>Total market value</t>
        </is>
      </c>
      <c r="B13" s="10">
        <f>SUM(B5:B12)</f>
        <v/>
      </c>
      <c r="C13" s="10">
        <f>SUM(C5:C12)</f>
        <v/>
      </c>
      <c r="D13" s="10">
        <f>SUM(D5:D12)</f>
        <v/>
      </c>
      <c r="E13" s="10">
        <f>SUM(E5:E12)</f>
        <v/>
      </c>
      <c r="F13" s="10">
        <f>SUM(F5:F12)</f>
        <v/>
      </c>
    </row>
    <row r="14">
      <c r="A14" s="2" t="inlineStr">
        <is>
          <t>Sum of weights</t>
        </is>
      </c>
      <c r="B14" s="9">
        <f>SUM(Weights!B2:B9)</f>
        <v/>
      </c>
      <c r="C14" s="9">
        <f>SUM(Weights!C2:C9)</f>
        <v/>
      </c>
      <c r="D14" s="9">
        <f>SUM(Weights!D2:D9)</f>
        <v/>
      </c>
      <c r="E14" s="9">
        <f>SUM(Weights!E2:E9)</f>
        <v/>
      </c>
      <c r="F14" s="9">
        <f>SUM(Weights!F2:F9)</f>
        <v/>
      </c>
    </row>
    <row r="15">
      <c r="A15" s="2" t="inlineStr">
        <is>
          <t>Parallel DV01</t>
        </is>
      </c>
      <c r="B15" s="11">
        <f>SUMPRODUCT(B5:B12,Bonds!$F$2:$F$9)</f>
        <v/>
      </c>
      <c r="C15" s="11">
        <f>SUMPRODUCT(C5:C12,Bonds!$F$2:$F$9)</f>
        <v/>
      </c>
      <c r="D15" s="11">
        <f>SUMPRODUCT(D5:D12,Bonds!$F$2:$F$9)</f>
        <v/>
      </c>
      <c r="E15" s="11">
        <f>SUMPRODUCT(E5:E12,Bonds!$F$2:$F$9)</f>
        <v/>
      </c>
      <c r="F15" s="11">
        <f>SUMPRODUCT(F5:F12,Bonds!$F$2:$F$9)</f>
        <v/>
      </c>
    </row>
    <row r="16">
      <c r="A16" s="2" t="inlineStr">
        <is>
          <t>DV01 minus target</t>
        </is>
      </c>
      <c r="B16" s="11">
        <f>B15-DV01Target</f>
        <v/>
      </c>
      <c r="C16" s="11">
        <f>C15-DV01Target</f>
        <v/>
      </c>
      <c r="D16" s="11">
        <f>D15-DV01Target</f>
        <v/>
      </c>
      <c r="E16" s="11">
        <f>E15-DV01Target</f>
        <v/>
      </c>
      <c r="F16" s="11">
        <f>F15-DV01Target</f>
        <v/>
      </c>
    </row>
    <row r="17">
      <c r="A17" s="2" t="inlineStr">
        <is>
          <t>DV01 inside ±2%</t>
        </is>
      </c>
      <c r="B17">
        <f>IF(ABS(B15/DV01Target-1)&lt;=0.02,"inside","outside")</f>
        <v/>
      </c>
      <c r="C17">
        <f>IF(ABS(C15/DV01Target-1)&lt;=0.02,"inside","outside")</f>
        <v/>
      </c>
      <c r="D17">
        <f>IF(ABS(D15/DV01Target-1)&lt;=0.02,"inside","outside")</f>
        <v/>
      </c>
      <c r="E17">
        <f>IF(ABS(E15/DV01Target-1)&lt;=0.02,"inside","outside")</f>
        <v/>
      </c>
      <c r="F17">
        <f>IF(ABS(F15/DV01Target-1)&lt;=0.02,"inside","outside")</f>
        <v/>
      </c>
    </row>
    <row r="19">
      <c r="A19" s="2" t="inlineStr">
        <is>
          <t>Gross traded vs current (buys+sells)</t>
        </is>
      </c>
      <c r="B19" s="10">
        <f>SUMPRODUCT(ABS(B5:B12-$B$5:$B$12))</f>
        <v/>
      </c>
      <c r="C19" s="10">
        <f>SUMPRODUCT(ABS(C5:C12-$B$5:$B$12))</f>
        <v/>
      </c>
      <c r="D19" s="10">
        <f>SUMPRODUCT(ABS(D5:D12-$B$5:$B$12))</f>
        <v/>
      </c>
      <c r="E19" s="10">
        <f>SUMPRODUCT(ABS(E5:E12-$B$5:$B$12))</f>
        <v/>
      </c>
      <c r="F19" s="10">
        <f>SUMPRODUCT(ABS(F5:F12-$B$5:$B$12))</f>
        <v/>
      </c>
    </row>
    <row r="20">
      <c r="A20" s="2" t="inlineStr">
        <is>
          <t>Buys vs current</t>
        </is>
      </c>
      <c r="B20" s="10">
        <f>SUMPRODUCT((B5:B12-$B$5:$B$12&gt;0)*(B5:B12-$B$5:$B$12))</f>
        <v/>
      </c>
      <c r="C20" s="10">
        <f>SUMPRODUCT((C5:C12-$B$5:$B$12&gt;0)*(C5:C12-$B$5:$B$12))</f>
        <v/>
      </c>
      <c r="D20" s="10">
        <f>SUMPRODUCT((D5:D12-$B$5:$B$12&gt;0)*(D5:D12-$B$5:$B$12))</f>
        <v/>
      </c>
      <c r="E20" s="10">
        <f>SUMPRODUCT((E5:E12-$B$5:$B$12&gt;0)*(E5:E12-$B$5:$B$12))</f>
        <v/>
      </c>
      <c r="F20" s="10">
        <f>SUMPRODUCT((F5:F12-$B$5:$B$12&gt;0)*(F5:F12-$B$5:$B$12))</f>
        <v/>
      </c>
    </row>
    <row r="21">
      <c r="A21" s="2" t="inlineStr">
        <is>
          <t>Sells vs current</t>
        </is>
      </c>
      <c r="B21" s="10">
        <f>B19-B20</f>
        <v/>
      </c>
      <c r="C21" s="10">
        <f>C19-C20</f>
        <v/>
      </c>
      <c r="D21" s="10">
        <f>D19-D20</f>
        <v/>
      </c>
      <c r="E21" s="10">
        <f>E19-E20</f>
        <v/>
      </c>
      <c r="F21" s="10">
        <f>F19-F20</f>
        <v/>
      </c>
    </row>
    <row r="22">
      <c r="A22" s="2" t="inlineStr">
        <is>
          <t>Turnover vs current</t>
        </is>
      </c>
      <c r="B22" s="12">
        <f>0.5*B19/NAV</f>
        <v/>
      </c>
      <c r="C22" s="12">
        <f>0.5*C19/NAV</f>
        <v/>
      </c>
      <c r="D22" s="12">
        <f>0.5*D19/NAV</f>
        <v/>
      </c>
      <c r="E22" s="12">
        <f>0.5*E19/NAV</f>
        <v/>
      </c>
      <c r="F22" s="12">
        <f>0.5*F19/NAV</f>
        <v/>
      </c>
    </row>
    <row r="23">
      <c r="A23" s="2" t="inlineStr">
        <is>
          <t>Transaction cost</t>
        </is>
      </c>
      <c r="B23" s="10">
        <f>B2*(CostBp/10000)*B19</f>
        <v/>
      </c>
      <c r="C23" s="10">
        <f>C2*(CostBp/10000)*C19</f>
        <v/>
      </c>
      <c r="D23" s="10">
        <f>D2*(CostBp/10000)*D19</f>
        <v/>
      </c>
      <c r="E23" s="10">
        <f>E2*(CostBp/10000)*E19</f>
        <v/>
      </c>
      <c r="F23" s="10">
        <f>F2*(CostBp/10000)*F19</f>
        <v/>
      </c>
    </row>
    <row r="25">
      <c r="A25" s="2" t="inlineStr">
        <is>
          <t>Scenario full-revaluation P&amp;L, relative P&amp;L after cost, and budget status</t>
        </is>
      </c>
    </row>
    <row r="26">
      <c r="A26" s="2" t="inlineStr">
        <is>
          <t>parallel_plus_100bp P&amp;L after cost</t>
        </is>
      </c>
      <c r="B26" s="10">
        <f>SUMPRODUCT(B5:B12,Bonds!$G$2:$G$9)-B23</f>
        <v/>
      </c>
      <c r="C26" s="10">
        <f>SUMPRODUCT(C5:C12,Bonds!$G$2:$G$9)-C23</f>
        <v/>
      </c>
      <c r="D26" s="10">
        <f>SUMPRODUCT(D5:D12,Bonds!$G$2:$G$9)-D23</f>
        <v/>
      </c>
      <c r="E26" s="10">
        <f>SUMPRODUCT(E5:E12,Bonds!$G$2:$G$9)-E23</f>
        <v/>
      </c>
      <c r="F26" s="10">
        <f>SUMPRODUCT(F5:F12,Bonds!$G$2:$G$9)-F23</f>
        <v/>
      </c>
    </row>
    <row r="27">
      <c r="A27" s="2" t="inlineStr">
        <is>
          <t>parallel_plus_100bp relative to benchmark</t>
        </is>
      </c>
      <c r="B27" s="10">
        <f>B26-C26</f>
        <v/>
      </c>
      <c r="C27" s="10">
        <f>C26-C26</f>
        <v/>
      </c>
      <c r="D27" s="10">
        <f>D26-C26</f>
        <v/>
      </c>
      <c r="E27" s="10">
        <f>E26-C26</f>
        <v/>
      </c>
      <c r="F27" s="10">
        <f>F26-C26</f>
        <v/>
      </c>
    </row>
    <row r="28">
      <c r="A28" s="2" t="inlineStr">
        <is>
          <t>parallel_plus_100bp budget</t>
        </is>
      </c>
      <c r="B28">
        <f>IF(B27&gt;=-Budget,"inside","outside")</f>
        <v/>
      </c>
      <c r="C28">
        <f>IF(C27&gt;=-Budget,"inside","outside")</f>
        <v/>
      </c>
      <c r="D28">
        <f>IF(D27&gt;=-Budget,"inside","outside")</f>
        <v/>
      </c>
      <c r="E28">
        <f>IF(E27&gt;=-Budget,"inside","outside")</f>
        <v/>
      </c>
      <c r="F28">
        <f>IF(F27&gt;=-Budget,"inside","outside")</f>
        <v/>
      </c>
    </row>
    <row r="29">
      <c r="A29" s="2" t="inlineStr">
        <is>
          <t>parallel_minus_100bp P&amp;L after cost</t>
        </is>
      </c>
      <c r="B29" s="10">
        <f>SUMPRODUCT(B5:B12,Bonds!$H$2:$H$9)-B23</f>
        <v/>
      </c>
      <c r="C29" s="10">
        <f>SUMPRODUCT(C5:C12,Bonds!$H$2:$H$9)-C23</f>
        <v/>
      </c>
      <c r="D29" s="10">
        <f>SUMPRODUCT(D5:D12,Bonds!$H$2:$H$9)-D23</f>
        <v/>
      </c>
      <c r="E29" s="10">
        <f>SUMPRODUCT(E5:E12,Bonds!$H$2:$H$9)-E23</f>
        <v/>
      </c>
      <c r="F29" s="10">
        <f>SUMPRODUCT(F5:F12,Bonds!$H$2:$H$9)-F23</f>
        <v/>
      </c>
    </row>
    <row r="30">
      <c r="A30" s="2" t="inlineStr">
        <is>
          <t>parallel_minus_100bp relative to benchmark</t>
        </is>
      </c>
      <c r="B30" s="10">
        <f>B29-C29</f>
        <v/>
      </c>
      <c r="C30" s="10">
        <f>C29-C29</f>
        <v/>
      </c>
      <c r="D30" s="10">
        <f>D29-C29</f>
        <v/>
      </c>
      <c r="E30" s="10">
        <f>E29-C29</f>
        <v/>
      </c>
      <c r="F30" s="10">
        <f>F29-C29</f>
        <v/>
      </c>
    </row>
    <row r="31">
      <c r="A31" s="2" t="inlineStr">
        <is>
          <t>parallel_minus_100bp budget</t>
        </is>
      </c>
      <c r="B31">
        <f>IF(B30&gt;=-Budget,"inside","outside")</f>
        <v/>
      </c>
      <c r="C31">
        <f>IF(C30&gt;=-Budget,"inside","outside")</f>
        <v/>
      </c>
      <c r="D31">
        <f>IF(D30&gt;=-Budget,"inside","outside")</f>
        <v/>
      </c>
      <c r="E31">
        <f>IF(E30&gt;=-Budget,"inside","outside")</f>
        <v/>
      </c>
      <c r="F31">
        <f>IF(F30&gt;=-Budget,"inside","outside")</f>
        <v/>
      </c>
    </row>
    <row r="32">
      <c r="A32" s="2" t="inlineStr">
        <is>
          <t>twist_steepener P&amp;L after cost</t>
        </is>
      </c>
      <c r="B32" s="10">
        <f>SUMPRODUCT(B5:B12,Bonds!$I$2:$I$9)-B23</f>
        <v/>
      </c>
      <c r="C32" s="10">
        <f>SUMPRODUCT(C5:C12,Bonds!$I$2:$I$9)-C23</f>
        <v/>
      </c>
      <c r="D32" s="10">
        <f>SUMPRODUCT(D5:D12,Bonds!$I$2:$I$9)-D23</f>
        <v/>
      </c>
      <c r="E32" s="10">
        <f>SUMPRODUCT(E5:E12,Bonds!$I$2:$I$9)-E23</f>
        <v/>
      </c>
      <c r="F32" s="10">
        <f>SUMPRODUCT(F5:F12,Bonds!$I$2:$I$9)-F23</f>
        <v/>
      </c>
    </row>
    <row r="33">
      <c r="A33" s="2" t="inlineStr">
        <is>
          <t>twist_steepener relative to benchmark</t>
        </is>
      </c>
      <c r="B33" s="10">
        <f>B32-C32</f>
        <v/>
      </c>
      <c r="C33" s="10">
        <f>C32-C32</f>
        <v/>
      </c>
      <c r="D33" s="10">
        <f>D32-C32</f>
        <v/>
      </c>
      <c r="E33" s="10">
        <f>E32-C32</f>
        <v/>
      </c>
      <c r="F33" s="10">
        <f>F32-C32</f>
        <v/>
      </c>
    </row>
    <row r="34">
      <c r="A34" s="2" t="inlineStr">
        <is>
          <t>twist_steepener budget</t>
        </is>
      </c>
      <c r="B34">
        <f>IF(B33&gt;=-Budget,"inside","outside")</f>
        <v/>
      </c>
      <c r="C34">
        <f>IF(C33&gt;=-Budget,"inside","outside")</f>
        <v/>
      </c>
      <c r="D34">
        <f>IF(D33&gt;=-Budget,"inside","outside")</f>
        <v/>
      </c>
      <c r="E34">
        <f>IF(E33&gt;=-Budget,"inside","outside")</f>
        <v/>
      </c>
      <c r="F34">
        <f>IF(F33&gt;=-Budget,"inside","outside")</f>
        <v/>
      </c>
    </row>
    <row r="35">
      <c r="A35" s="2" t="inlineStr">
        <is>
          <t>twist_flattener P&amp;L after cost</t>
        </is>
      </c>
      <c r="B35" s="10">
        <f>SUMPRODUCT(B5:B12,Bonds!$J$2:$J$9)-B23</f>
        <v/>
      </c>
      <c r="C35" s="10">
        <f>SUMPRODUCT(C5:C12,Bonds!$J$2:$J$9)-C23</f>
        <v/>
      </c>
      <c r="D35" s="10">
        <f>SUMPRODUCT(D5:D12,Bonds!$J$2:$J$9)-D23</f>
        <v/>
      </c>
      <c r="E35" s="10">
        <f>SUMPRODUCT(E5:E12,Bonds!$J$2:$J$9)-E23</f>
        <v/>
      </c>
      <c r="F35" s="10">
        <f>SUMPRODUCT(F5:F12,Bonds!$J$2:$J$9)-F23</f>
        <v/>
      </c>
    </row>
    <row r="36">
      <c r="A36" s="2" t="inlineStr">
        <is>
          <t>twist_flattener relative to benchmark</t>
        </is>
      </c>
      <c r="B36" s="10">
        <f>B35-C35</f>
        <v/>
      </c>
      <c r="C36" s="10">
        <f>C35-C35</f>
        <v/>
      </c>
      <c r="D36" s="10">
        <f>D35-C35</f>
        <v/>
      </c>
      <c r="E36" s="10">
        <f>E35-C35</f>
        <v/>
      </c>
      <c r="F36" s="10">
        <f>F35-C35</f>
        <v/>
      </c>
    </row>
    <row r="37">
      <c r="A37" s="2" t="inlineStr">
        <is>
          <t>twist_flattener budget</t>
        </is>
      </c>
      <c r="B37">
        <f>IF(B36&gt;=-Budget,"inside","outside")</f>
        <v/>
      </c>
      <c r="C37">
        <f>IF(C36&gt;=-Budget,"inside","outside")</f>
        <v/>
      </c>
      <c r="D37">
        <f>IF(D36&gt;=-Budget,"inside","outside")</f>
        <v/>
      </c>
      <c r="E37">
        <f>IF(E36&gt;=-Budget,"inside","outside")</f>
        <v/>
      </c>
      <c r="F37">
        <f>IF(F36&gt;=-Budget,"inside","outside")</f>
        <v/>
      </c>
    </row>
    <row r="38">
      <c r="A38" s="2" t="inlineStr">
        <is>
          <t>hist_2023_03_08_to_2023_03_13 P&amp;L after cost</t>
        </is>
      </c>
      <c r="B38" s="10">
        <f>SUMPRODUCT(B5:B12,Bonds!$K$2:$K$9)-B23</f>
        <v/>
      </c>
      <c r="C38" s="10">
        <f>SUMPRODUCT(C5:C12,Bonds!$K$2:$K$9)-C23</f>
        <v/>
      </c>
      <c r="D38" s="10">
        <f>SUMPRODUCT(D5:D12,Bonds!$K$2:$K$9)-D23</f>
        <v/>
      </c>
      <c r="E38" s="10">
        <f>SUMPRODUCT(E5:E12,Bonds!$K$2:$K$9)-E23</f>
        <v/>
      </c>
      <c r="F38" s="10">
        <f>SUMPRODUCT(F5:F12,Bonds!$K$2:$K$9)-F23</f>
        <v/>
      </c>
    </row>
    <row r="39">
      <c r="A39" s="2" t="inlineStr">
        <is>
          <t>hist_2023_03_08_to_2023_03_13 relative to benchmark</t>
        </is>
      </c>
      <c r="B39" s="10">
        <f>B38-C38</f>
        <v/>
      </c>
      <c r="C39" s="10">
        <f>C38-C38</f>
        <v/>
      </c>
      <c r="D39" s="10">
        <f>D38-C38</f>
        <v/>
      </c>
      <c r="E39" s="10">
        <f>E38-C38</f>
        <v/>
      </c>
      <c r="F39" s="10">
        <f>F38-C38</f>
        <v/>
      </c>
    </row>
    <row r="40">
      <c r="A40" s="2" t="inlineStr">
        <is>
          <t>hist_2023_03_08_to_2023_03_13 budget</t>
        </is>
      </c>
      <c r="B40">
        <f>IF(B39&gt;=-Budget,"inside","outside")</f>
        <v/>
      </c>
      <c r="C40">
        <f>IF(C39&gt;=-Budget,"inside","outside")</f>
        <v/>
      </c>
      <c r="D40">
        <f>IF(D39&gt;=-Budget,"inside","outside")</f>
        <v/>
      </c>
      <c r="E40">
        <f>IF(E39&gt;=-Budget,"inside","outside")</f>
        <v/>
      </c>
      <c r="F40">
        <f>IF(F39&gt;=-Budget,"inside","outside")</f>
        <v/>
      </c>
    </row>
    <row r="41">
      <c r="A41" s="2" t="inlineStr">
        <is>
          <t>hist_2023_07_31_to_2023_10_19 P&amp;L after cost</t>
        </is>
      </c>
      <c r="B41" s="10">
        <f>SUMPRODUCT(B5:B12,Bonds!$L$2:$L$9)-B23</f>
        <v/>
      </c>
      <c r="C41" s="10">
        <f>SUMPRODUCT(C5:C12,Bonds!$L$2:$L$9)-C23</f>
        <v/>
      </c>
      <c r="D41" s="10">
        <f>SUMPRODUCT(D5:D12,Bonds!$L$2:$L$9)-D23</f>
        <v/>
      </c>
      <c r="E41" s="10">
        <f>SUMPRODUCT(E5:E12,Bonds!$L$2:$L$9)-E23</f>
        <v/>
      </c>
      <c r="F41" s="10">
        <f>SUMPRODUCT(F5:F12,Bonds!$L$2:$L$9)-F23</f>
        <v/>
      </c>
    </row>
    <row r="42">
      <c r="A42" s="2" t="inlineStr">
        <is>
          <t>hist_2023_07_31_to_2023_10_19 relative to benchmark</t>
        </is>
      </c>
      <c r="B42" s="10">
        <f>B41-C41</f>
        <v/>
      </c>
      <c r="C42" s="10">
        <f>C41-C41</f>
        <v/>
      </c>
      <c r="D42" s="10">
        <f>D41-C41</f>
        <v/>
      </c>
      <c r="E42" s="10">
        <f>E41-C41</f>
        <v/>
      </c>
      <c r="F42" s="10">
        <f>F41-C41</f>
        <v/>
      </c>
    </row>
    <row r="43">
      <c r="A43" s="2" t="inlineStr">
        <is>
          <t>hist_2023_07_31_to_2023_10_19 budget</t>
        </is>
      </c>
      <c r="B43">
        <f>IF(B42&gt;=-Budget,"inside","outside")</f>
        <v/>
      </c>
      <c r="C43">
        <f>IF(C42&gt;=-Budget,"inside","outside")</f>
        <v/>
      </c>
      <c r="D43">
        <f>IF(D42&gt;=-Budget,"inside","outside")</f>
        <v/>
      </c>
      <c r="E43">
        <f>IF(E42&gt;=-Budget,"inside","outside")</f>
        <v/>
      </c>
      <c r="F43">
        <f>IF(F42&gt;=-Budget,"inside","outside")</f>
        <v/>
      </c>
    </row>
  </sheetData>
  <conditionalFormatting sqref="B26:F43">
    <cfRule type="cellIs" priority="1" operator="equal" dxfId="0">
      <formula>"outside"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>
      <c r="A1" s="1" t="inlineStr">
        <is>
          <t>S05Y cash-flow discount check</t>
        </is>
      </c>
    </row>
    <row r="2" ht="32" customHeight="1">
      <c r="A2" s="6" t="inlineStr">
        <is>
          <t>Present value uses Excel EXP on the continuous zero. T and the zero are values from the valuation-date curve. Sum of PV should match the S05Y dirty price on Bonds.</t>
        </is>
      </c>
    </row>
    <row r="4">
      <c r="A4" s="2" t="inlineStr">
        <is>
          <t>Pay date</t>
        </is>
      </c>
      <c r="B4" s="2" t="inlineStr">
        <is>
          <t>T (ACT/365F)</t>
        </is>
      </c>
      <c r="C4" s="2" t="inlineStr">
        <is>
          <t>Cash flow per 100</t>
        </is>
      </c>
      <c r="D4" s="2" t="inlineStr">
        <is>
          <t>Continuous zero (decimal)</t>
        </is>
      </c>
      <c r="E4" s="2" t="inlineStr">
        <is>
          <t>Discount factor</t>
        </is>
      </c>
      <c r="F4" s="2" t="inlineStr">
        <is>
          <t>Present value</t>
        </is>
      </c>
    </row>
    <row r="5">
      <c r="A5" t="inlineStr">
        <is>
          <t>2024-01-31</t>
        </is>
      </c>
      <c r="B5" s="8" t="n">
        <v>0.5041095890410959</v>
      </c>
      <c r="C5" s="7" t="n">
        <v>2</v>
      </c>
      <c r="D5" s="8" t="n">
        <v>0.05486811796843085</v>
      </c>
      <c r="E5" s="8">
        <f>EXP(-D5*B5)</f>
        <v/>
      </c>
      <c r="F5" s="8">
        <f>C5*E5</f>
        <v/>
      </c>
    </row>
    <row r="6">
      <c r="A6" t="inlineStr">
        <is>
          <t>2024-07-31</t>
        </is>
      </c>
      <c r="B6" s="8" t="n">
        <v>1.002739726027397</v>
      </c>
      <c r="C6" s="7" t="n">
        <v>2</v>
      </c>
      <c r="D6" s="8" t="n">
        <v>0.05273949892054361</v>
      </c>
      <c r="E6" s="8">
        <f>EXP(-D6*B6)</f>
        <v/>
      </c>
      <c r="F6" s="8">
        <f>C6*E6</f>
        <v/>
      </c>
    </row>
    <row r="7">
      <c r="A7" t="inlineStr">
        <is>
          <t>2025-01-31</t>
        </is>
      </c>
      <c r="B7" s="8" t="n">
        <v>1.506849315068493</v>
      </c>
      <c r="C7" s="7" t="n">
        <v>2</v>
      </c>
      <c r="D7" s="8" t="n">
        <v>0.05053218921990719</v>
      </c>
      <c r="E7" s="8">
        <f>EXP(-D7*B7)</f>
        <v/>
      </c>
      <c r="F7" s="8">
        <f>C7*E7</f>
        <v/>
      </c>
    </row>
    <row r="8">
      <c r="A8" t="inlineStr">
        <is>
          <t>2025-07-31</t>
        </is>
      </c>
      <c r="B8" s="8" t="n">
        <v>2.002739726027397</v>
      </c>
      <c r="C8" s="7" t="n">
        <v>2</v>
      </c>
      <c r="D8" s="8" t="n">
        <v>0.04849131394587857</v>
      </c>
      <c r="E8" s="8">
        <f>EXP(-D8*B8)</f>
        <v/>
      </c>
      <c r="F8" s="8">
        <f>C8*E8</f>
        <v/>
      </c>
    </row>
    <row r="9">
      <c r="A9" t="inlineStr">
        <is>
          <t>2026-01-31</t>
        </is>
      </c>
      <c r="B9" s="8" t="n">
        <v>2.506849315068493</v>
      </c>
      <c r="C9" s="7" t="n">
        <v>2</v>
      </c>
      <c r="D9" s="8" t="n">
        <v>0.04664352879588478</v>
      </c>
      <c r="E9" s="8">
        <f>EXP(-D9*B9)</f>
        <v/>
      </c>
      <c r="F9" s="8">
        <f>C9*E9</f>
        <v/>
      </c>
    </row>
    <row r="10">
      <c r="A10" t="inlineStr">
        <is>
          <t>2026-07-31</t>
        </is>
      </c>
      <c r="B10" s="8" t="n">
        <v>3.002739726027397</v>
      </c>
      <c r="C10" s="7" t="n">
        <v>2</v>
      </c>
      <c r="D10" s="8" t="n">
        <v>0.045084392005665</v>
      </c>
      <c r="E10" s="8">
        <f>EXP(-D10*B10)</f>
        <v/>
      </c>
      <c r="F10" s="8">
        <f>C10*E10</f>
        <v/>
      </c>
    </row>
    <row r="11">
      <c r="A11" t="inlineStr">
        <is>
          <t>2027-01-31</t>
        </is>
      </c>
      <c r="B11" s="8" t="n">
        <v>3.506849315068493</v>
      </c>
      <c r="C11" s="7" t="n">
        <v>2</v>
      </c>
      <c r="D11" s="8" t="n">
        <v>0.04376377867549309</v>
      </c>
      <c r="E11" s="8">
        <f>EXP(-D11*B11)</f>
        <v/>
      </c>
      <c r="F11" s="8">
        <f>C11*E11</f>
        <v/>
      </c>
    </row>
    <row r="12">
      <c r="A12" t="inlineStr">
        <is>
          <t>2027-07-31</t>
        </is>
      </c>
      <c r="B12" s="8" t="n">
        <v>4.002739726027397</v>
      </c>
      <c r="C12" s="7" t="n">
        <v>2</v>
      </c>
      <c r="D12" s="8" t="n">
        <v>0.04270751621560976</v>
      </c>
      <c r="E12" s="8">
        <f>EXP(-D12*B12)</f>
        <v/>
      </c>
      <c r="F12" s="8">
        <f>C12*E12</f>
        <v/>
      </c>
    </row>
    <row r="13">
      <c r="A13" t="inlineStr">
        <is>
          <t>2028-01-31</t>
        </is>
      </c>
      <c r="B13" s="8" t="n">
        <v>4.506849315068493</v>
      </c>
      <c r="C13" s="7" t="n">
        <v>2</v>
      </c>
      <c r="D13" s="8" t="n">
        <v>0.04185358982384514</v>
      </c>
      <c r="E13" s="8">
        <f>EXP(-D13*B13)</f>
        <v/>
      </c>
      <c r="F13" s="8">
        <f>C13*E13</f>
        <v/>
      </c>
    </row>
    <row r="14">
      <c r="A14" t="inlineStr">
        <is>
          <t>2028-07-31</t>
        </is>
      </c>
      <c r="B14" s="8" t="n">
        <v>5.005479452054795</v>
      </c>
      <c r="C14" s="7" t="n">
        <v>102</v>
      </c>
      <c r="D14" s="8" t="n">
        <v>0.0411969909193931</v>
      </c>
      <c r="E14" s="8">
        <f>EXP(-D14*B14)</f>
        <v/>
      </c>
      <c r="F14" s="8">
        <f>C14*E14</f>
        <v/>
      </c>
    </row>
    <row r="16">
      <c r="E16" s="2" t="inlineStr">
        <is>
          <t>Sum of present values</t>
        </is>
      </c>
      <c r="F16" s="8">
        <f>SUM(F5:F14)</f>
        <v/>
      </c>
    </row>
    <row r="17">
      <c r="E17" t="inlineStr">
        <is>
          <t>Dirty price from Bonds (S05Y)</t>
        </is>
      </c>
      <c r="F17" s="8">
        <f>INDEX(Bonds!D:D,MATCH("S05Y",Bonds!A:A,0))</f>
        <v/>
      </c>
    </row>
    <row r="18">
      <c r="E18" t="inlineStr">
        <is>
          <t>Difference</t>
        </is>
      </c>
      <c r="F18" s="8">
        <f>F16-F17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88" customWidth="1" min="1" max="1"/>
    <col width="22" customWidth="1" min="2" max="2"/>
  </cols>
  <sheetData>
    <row r="1">
      <c r="A1" s="1" t="inlineStr">
        <is>
          <t>How to read the formulas</t>
        </is>
      </c>
    </row>
    <row r="3" ht="36" customHeight="1">
      <c r="A3" s="6" t="inlineStr">
        <is>
          <t>Market value is weight times Inputs!B3. Parallel DV01 is the sum of market value times DV01 per dollar.</t>
        </is>
      </c>
    </row>
    <row r="4" ht="36" customHeight="1">
      <c r="A4" s="6" t="inlineStr">
        <is>
          <t>Turnover versus the current book is 0.5 * sum of absolute market-value changes / NAV. Gross traded value is buys plus sells.</t>
        </is>
      </c>
    </row>
    <row r="5" ht="36" customHeight="1">
      <c r="A5" s="6" t="inlineStr">
        <is>
          <t>Cost is the one-sided bp rate times gross traded value, and only for columns with apply-cost = 1.</t>
        </is>
      </c>
    </row>
    <row r="6" ht="36" customHeight="1">
      <c r="A6" s="6" t="inlineStr">
        <is>
          <t>Scenario P&amp;L is the sum of market value times the bond's full-revaluation return, minus that cost.</t>
        </is>
      </c>
    </row>
    <row r="7" ht="36" customHeight="1">
      <c r="A7" s="6" t="inlineStr">
        <is>
          <t>Relative P&amp;L subtracts the benchmark column. Inside the budget means relative P&amp;L is not worse than -Budget.</t>
        </is>
      </c>
    </row>
    <row r="8" ht="36" customHeight="1">
      <c r="A8" s="6" t="inlineStr">
        <is>
          <t>The steepener is -50 bp at and before 2y, +100 bp at and beyond 10y, linear in maturity between those nodes. The flattener swaps the signs. Neither is a bear steepener or a bull flattener.</t>
        </is>
      </c>
    </row>
    <row r="9" ht="36" customHeight="1">
      <c r="A9" s="6" t="inlineStr">
        <is>
          <t>At the time this file was written, the expanded S05Y book's tightest scenario had a one-sided cost break-even of 4.1133 bp. The live formula below recomputes that break-even from the Portfolio sheet. A one-sided cost above it exhausts the cushion. 4.2 bp is the design note's illustration; it exhausts the cushion only if the live break-even is below 4.2.</t>
        </is>
      </c>
    </row>
    <row r="12">
      <c r="A12" s="2" t="inlineStr">
        <is>
          <t>Live cushion on expanded book (tightest relative P&amp;L + budget)</t>
        </is>
      </c>
      <c r="B12" s="10">
        <f>MIN(Portfolio!E27,Portfolio!E30,Portfolio!E33,Portfolio!E36,Portfolio!E39,Portfolio!E42)+Budget</f>
        <v/>
      </c>
    </row>
    <row r="13">
      <c r="A13" s="2" t="inlineStr">
        <is>
          <t>Live break-even one-sided cost (bp)</t>
        </is>
      </c>
      <c r="B13" s="13">
        <f>CostBp+B12/Portfolio!E19*10000</f>
        <v/>
      </c>
    </row>
    <row r="14">
      <c r="A14" s="2" t="inlineStr">
        <is>
          <t>Would 4.2 bp one-sided exhaust the expanded cushion?</t>
        </is>
      </c>
      <c r="B14">
        <f>IF(4.2&gt;B13,"yes","no")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2026-10-03T08:10:39Z</dcterms:created>
  <dcterms:modified xmlns:dcterms="http://purl.org/dc/terms/" xmlns:xsi="http://www.w3.org/2001/XMLSchema-instance" xsi:type="dcterms:W3CDTF">2026-10-03T08:10:39Z</dcterms:modified>
</cp:coreProperties>
</file>